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excel_dynamic_codegen\"/>
    </mc:Choice>
  </mc:AlternateContent>
  <xr:revisionPtr revIDLastSave="0" documentId="13_ncr:1_{1BDF6374-094B-41BD-A310-F184D7FA785A}" xr6:coauthVersionLast="36" xr6:coauthVersionMax="36" xr10:uidLastSave="{00000000-0000-0000-0000-000000000000}"/>
  <bookViews>
    <workbookView xWindow="0" yWindow="0" windowWidth="19200" windowHeight="6440" activeTab="1" xr2:uid="{00000000-000D-0000-FFFF-FFFF00000000}"/>
  </bookViews>
  <sheets>
    <sheet name="Rules" sheetId="4" r:id="rId1"/>
    <sheet name="Computation Sheet" sheetId="5" r:id="rId2"/>
    <sheet name="Offer Letter" sheetId="6" r:id="rId3"/>
    <sheet name="Salary Slip" sheetId="8" r:id="rId4"/>
    <sheet name="Payroll Archive" sheetId="11" r:id="rId5"/>
  </sheets>
  <functionGroups builtInGroupCount="19"/>
  <calcPr calcId="179021"/>
</workbook>
</file>

<file path=xl/calcChain.xml><?xml version="1.0" encoding="utf-8"?>
<calcChain xmlns="http://schemas.openxmlformats.org/spreadsheetml/2006/main">
  <c r="D4" i="8" l="1"/>
  <c r="D5" i="8"/>
  <c r="F4" i="8"/>
  <c r="D3" i="8"/>
  <c r="F2" i="8"/>
  <c r="D2" i="8"/>
  <c r="B15" i="6"/>
  <c r="B11" i="6"/>
  <c r="B10" i="6"/>
  <c r="B9" i="6"/>
  <c r="B7" i="6"/>
  <c r="B4" i="6"/>
  <c r="B5" i="6"/>
  <c r="B6" i="6"/>
  <c r="B3" i="6"/>
  <c r="U7" i="5"/>
  <c r="U6" i="5"/>
  <c r="U5" i="5"/>
  <c r="U4" i="5"/>
  <c r="U3" i="5"/>
  <c r="V7" i="5"/>
  <c r="V6" i="5"/>
  <c r="V5" i="5"/>
  <c r="V4" i="5"/>
  <c r="V3" i="5"/>
  <c r="B8" i="8" l="1"/>
  <c r="B10" i="8"/>
  <c r="D8" i="8"/>
  <c r="BG7" i="5"/>
  <c r="BF7" i="5"/>
  <c r="BE7" i="5"/>
  <c r="BD7" i="5"/>
  <c r="BC7" i="5"/>
  <c r="BG6" i="5"/>
  <c r="BF6" i="5"/>
  <c r="BE6" i="5"/>
  <c r="BD6" i="5"/>
  <c r="BC6" i="5"/>
  <c r="BG5" i="5"/>
  <c r="BF5" i="5"/>
  <c r="BE5" i="5"/>
  <c r="BD5" i="5"/>
  <c r="BC5" i="5"/>
  <c r="BG4" i="5"/>
  <c r="BF4" i="5"/>
  <c r="BE4" i="5"/>
  <c r="BD4" i="5"/>
  <c r="BC4" i="5"/>
  <c r="F8" i="8" l="1"/>
  <c r="AC4" i="5"/>
  <c r="AC5" i="5"/>
  <c r="AC7" i="5"/>
  <c r="BG3" i="5"/>
  <c r="BF3" i="5"/>
  <c r="BE3" i="5"/>
  <c r="BC3" i="5"/>
  <c r="BD3" i="5" l="1"/>
  <c r="A1" i="8" l="1"/>
  <c r="Y7" i="5" l="1"/>
  <c r="Y6" i="5"/>
  <c r="Y5" i="5"/>
  <c r="Y4" i="5"/>
  <c r="Y3" i="5"/>
  <c r="X7" i="5"/>
  <c r="X6" i="5"/>
  <c r="X5" i="5"/>
  <c r="X4" i="5"/>
  <c r="X3" i="5"/>
  <c r="Z7" i="5" l="1"/>
  <c r="Z4" i="5"/>
  <c r="Z5" i="5"/>
  <c r="Z3" i="5"/>
  <c r="Z6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Q10" i="5"/>
  <c r="AQ9" i="5"/>
  <c r="AQ8" i="5"/>
  <c r="AP8" i="5"/>
  <c r="AO8" i="5"/>
  <c r="B12" i="8" l="1"/>
  <c r="AN4" i="5"/>
  <c r="AQ4" i="5"/>
  <c r="AN6" i="5"/>
  <c r="AQ6" i="5"/>
  <c r="AN7" i="5"/>
  <c r="AQ7" i="5"/>
  <c r="AN5" i="5"/>
  <c r="AQ5" i="5"/>
  <c r="AD4" i="5"/>
  <c r="AA4" i="5"/>
  <c r="BA4" i="5" s="1"/>
  <c r="BI4" i="5" s="1"/>
  <c r="AD6" i="5"/>
  <c r="AA6" i="5"/>
  <c r="BA6" i="5" s="1"/>
  <c r="BI6" i="5" s="1"/>
  <c r="AD5" i="5"/>
  <c r="AA5" i="5"/>
  <c r="BA5" i="5" s="1"/>
  <c r="BI5" i="5" s="1"/>
  <c r="AD7" i="5"/>
  <c r="AA7" i="5"/>
  <c r="BA7" i="5" s="1"/>
  <c r="BI7" i="5" s="1"/>
  <c r="AN3" i="5"/>
  <c r="AA3" i="5"/>
  <c r="AQ3" i="5"/>
  <c r="AD3" i="5"/>
  <c r="D12" i="8" s="1"/>
  <c r="BA3" i="5" l="1"/>
  <c r="B13" i="8"/>
  <c r="AO5" i="5"/>
  <c r="AO6" i="5"/>
  <c r="AO7" i="5"/>
  <c r="AO4" i="5"/>
  <c r="AB3" i="5"/>
  <c r="AB7" i="5"/>
  <c r="AZ7" i="5" s="1"/>
  <c r="BJ7" i="5" s="1"/>
  <c r="C9" i="6"/>
  <c r="AB4" i="5"/>
  <c r="C10" i="6"/>
  <c r="AB6" i="5"/>
  <c r="AC6" i="5" s="1"/>
  <c r="B14" i="6" s="1"/>
  <c r="AO3" i="5"/>
  <c r="AB5" i="5"/>
  <c r="AZ3" i="5" l="1"/>
  <c r="B14" i="8"/>
  <c r="B15" i="8" s="1"/>
  <c r="AC3" i="5"/>
  <c r="BL7" i="5"/>
  <c r="AE7" i="5"/>
  <c r="AZ6" i="5"/>
  <c r="BJ6" i="5" s="1"/>
  <c r="AZ5" i="5"/>
  <c r="BJ5" i="5" s="1"/>
  <c r="AZ4" i="5"/>
  <c r="BJ4" i="5" s="1"/>
  <c r="BL4" i="5" s="1"/>
  <c r="C14" i="6"/>
  <c r="AE3" i="5" l="1"/>
  <c r="BO4" i="5"/>
  <c r="BN4" i="5"/>
  <c r="BL6" i="5"/>
  <c r="BL5" i="5"/>
  <c r="BN7" i="5"/>
  <c r="BO7" i="5"/>
  <c r="AK7" i="5" s="1"/>
  <c r="AM7" i="5" s="1"/>
  <c r="AE6" i="5"/>
  <c r="AE5" i="5"/>
  <c r="AE4" i="5"/>
  <c r="C11" i="6"/>
  <c r="C12" i="6" s="1"/>
  <c r="B12" i="6"/>
  <c r="AP5" i="5"/>
  <c r="AU5" i="5" s="1"/>
  <c r="B16" i="6" l="1"/>
  <c r="C16" i="6" s="1"/>
  <c r="D13" i="8"/>
  <c r="D15" i="8" s="1"/>
  <c r="BN5" i="5"/>
  <c r="BO5" i="5"/>
  <c r="AK5" i="5" s="1"/>
  <c r="AM5" i="5" s="1"/>
  <c r="BO6" i="5"/>
  <c r="AK6" i="5" s="1"/>
  <c r="AM6" i="5" s="1"/>
  <c r="BN6" i="5"/>
  <c r="AP6" i="5"/>
  <c r="AU6" i="5" s="1"/>
  <c r="AP7" i="5" l="1"/>
  <c r="AU7" i="5" s="1"/>
  <c r="AP4" i="5" l="1"/>
  <c r="AP3" i="5"/>
  <c r="AU3" i="5" s="1"/>
  <c r="AK4" i="5"/>
  <c r="AM4" i="5" l="1"/>
  <c r="AU4" i="5"/>
  <c r="C15" i="6"/>
  <c r="C17" i="6" s="1"/>
  <c r="B17" i="6" l="1"/>
  <c r="C18" i="6"/>
  <c r="C22" i="6"/>
  <c r="BI3" i="5"/>
  <c r="BJ3" i="5" s="1"/>
  <c r="BL3" i="5" s="1"/>
  <c r="BO3" i="5" l="1"/>
  <c r="AK3" i="5" s="1"/>
  <c r="BN3" i="5"/>
  <c r="AM3" i="5" l="1"/>
  <c r="C23" i="6" s="1"/>
  <c r="F12" i="8"/>
  <c r="F15" i="8" s="1"/>
  <c r="B17" i="8" s="1"/>
  <c r="B18" i="8"/>
</calcChain>
</file>

<file path=xl/sharedStrings.xml><?xml version="1.0" encoding="utf-8"?>
<sst xmlns="http://schemas.openxmlformats.org/spreadsheetml/2006/main" count="359" uniqueCount="266">
  <si>
    <t>Employee ID</t>
  </si>
  <si>
    <t>Designation</t>
  </si>
  <si>
    <t>Department</t>
  </si>
  <si>
    <t>PAN Number</t>
  </si>
  <si>
    <t>Basic Salary</t>
  </si>
  <si>
    <t>HRA</t>
  </si>
  <si>
    <t>Special Allowance</t>
  </si>
  <si>
    <t>Gross Salary</t>
  </si>
  <si>
    <t>Remarks</t>
  </si>
  <si>
    <t>Basic</t>
  </si>
  <si>
    <t>ESI</t>
  </si>
  <si>
    <t>Professional Tax</t>
  </si>
  <si>
    <t>Net Salary Payable (A-B-C)</t>
  </si>
  <si>
    <t>Payment</t>
  </si>
  <si>
    <t>Due Date</t>
  </si>
  <si>
    <t>15th of following month</t>
  </si>
  <si>
    <t>7th of following month</t>
  </si>
  <si>
    <t xml:space="preserve">at retirement </t>
  </si>
  <si>
    <t>30th Sept of following year</t>
  </si>
  <si>
    <t>Gratuity payment (to employee)</t>
  </si>
  <si>
    <t>Bonus payment(to employee)</t>
  </si>
  <si>
    <t>PF payment</t>
  </si>
  <si>
    <t>ESI payment</t>
  </si>
  <si>
    <t>TDS</t>
  </si>
  <si>
    <t>Salary</t>
  </si>
  <si>
    <t>Last working Day of the Month</t>
  </si>
  <si>
    <t>#</t>
  </si>
  <si>
    <t>Name</t>
  </si>
  <si>
    <t>Gross</t>
  </si>
  <si>
    <t>EPF</t>
  </si>
  <si>
    <t>Pro Tax</t>
  </si>
  <si>
    <t>ESI Co</t>
  </si>
  <si>
    <t>Employee Information</t>
  </si>
  <si>
    <t>Salary Information</t>
  </si>
  <si>
    <t xml:space="preserve">ESI (Employee State Insurance) - </t>
  </si>
  <si>
    <t>PF (Provident Fund)</t>
  </si>
  <si>
    <t>Pro Tex (Professional Tax)</t>
  </si>
  <si>
    <t>It is state wise. Some states it applies</t>
  </si>
  <si>
    <t>Gratuity</t>
  </si>
  <si>
    <t>PF Exp (PF Expense)</t>
  </si>
  <si>
    <t>To maintain PF dept, 1% Admin exp govt. charges. IF Basic Salary is &gt;15000 then 150 if &lt;=15000 then 1% of basic</t>
  </si>
  <si>
    <t>Govt. Rule for PF- IF Basic Salary is &gt;15000 then 1800 if &lt;=15000 then 12% basic</t>
  </si>
  <si>
    <t>Applicable if employee works &gt;= 5 Years. Formula :
15/25* Last Drwan Salary * Completed Year of Service. In other words - 4.81% of Basic</t>
  </si>
  <si>
    <t>Father's Name</t>
  </si>
  <si>
    <t>PAN No</t>
  </si>
  <si>
    <t>Address</t>
  </si>
  <si>
    <t>State</t>
  </si>
  <si>
    <t>Email ID
Official</t>
  </si>
  <si>
    <t>Email ID
Personal</t>
  </si>
  <si>
    <t>Spouse Name</t>
  </si>
  <si>
    <t>Emergency Contact No</t>
  </si>
  <si>
    <t>Laptop Serial No</t>
  </si>
  <si>
    <t>Days in 
Month</t>
  </si>
  <si>
    <t>Reporting Manager</t>
  </si>
  <si>
    <t>Joining Data</t>
  </si>
  <si>
    <t>Release Date</t>
  </si>
  <si>
    <t>Band</t>
  </si>
  <si>
    <t>Package
Monthy</t>
  </si>
  <si>
    <t>Joining Bonus</t>
  </si>
  <si>
    <t>Joining 
Bonus 
Date</t>
  </si>
  <si>
    <t>Payable
Days</t>
  </si>
  <si>
    <t>Package
Yearly</t>
  </si>
  <si>
    <t>CTC</t>
  </si>
  <si>
    <t>Cost to Company</t>
  </si>
  <si>
    <t>TDS on Salary</t>
  </si>
  <si>
    <t>Employee information</t>
  </si>
  <si>
    <t>PAN, Age &amp; Details, Location, Tax regime, Income/Loss from HP, Interest on Home Loan, Investment Proof, Actual Rent Receipts, Landlord Pan</t>
  </si>
  <si>
    <t>As per Law TDS to be deducted every month</t>
  </si>
  <si>
    <t>Location</t>
  </si>
  <si>
    <t>NON Metro</t>
  </si>
  <si>
    <t>Landlord
PAN</t>
  </si>
  <si>
    <t>Other</t>
  </si>
  <si>
    <t>Rent Paid</t>
  </si>
  <si>
    <t>Salary from
Other Employer</t>
  </si>
  <si>
    <t>Income from
House Property</t>
  </si>
  <si>
    <t>Interest Paid
on Loan</t>
  </si>
  <si>
    <t>Income from
Other Source</t>
  </si>
  <si>
    <t>Raghav Gulati</t>
  </si>
  <si>
    <t>Manjul Tripati</t>
  </si>
  <si>
    <t>Ravi Kumar</t>
  </si>
  <si>
    <t>Govt Rule- (0.75%) Employee, 3.25% Employer on Gross Subject to Gross Salary &lt;=21000, else employee is not eligible for ESI</t>
  </si>
  <si>
    <t>IND0001</t>
  </si>
  <si>
    <t>IND0002</t>
  </si>
  <si>
    <t>IND0003</t>
  </si>
  <si>
    <t>IND0004</t>
  </si>
  <si>
    <t>IND0005</t>
  </si>
  <si>
    <t>Arun Kumar Awasthi</t>
  </si>
  <si>
    <t>Lt. Sri Radhey Shyam Awasthi</t>
  </si>
  <si>
    <t>Managing Director</t>
  </si>
  <si>
    <t>Management</t>
  </si>
  <si>
    <t>AINPA9714E</t>
  </si>
  <si>
    <t>B-404, Victoria Heights, Peer Muchalla Zirakpur, Punjab, 140603</t>
  </si>
  <si>
    <t>arun@simplifyai.id</t>
  </si>
  <si>
    <t>arunkumarawasthi@gmail.com</t>
  </si>
  <si>
    <t>Tripti Awasthi</t>
  </si>
  <si>
    <t>Deep S Bhau</t>
  </si>
  <si>
    <t>Chandigarh</t>
  </si>
  <si>
    <t>Gurdeep Singh</t>
  </si>
  <si>
    <t>Mobile No</t>
  </si>
  <si>
    <t>Mother's Name</t>
  </si>
  <si>
    <t>Smt. Devendri Devi Awasthi</t>
  </si>
  <si>
    <t xml:space="preserve"> Sh. BALWANT SINGH</t>
  </si>
  <si>
    <t xml:space="preserve">Smt.KHEEMA DEVI </t>
  </si>
  <si>
    <t>ADMINISTRATIVE SUPPORT  STAFF</t>
  </si>
  <si>
    <t>E1</t>
  </si>
  <si>
    <t>DQHPG1952B</t>
  </si>
  <si>
    <t xml:space="preserve">VILL.DHARLA P.O. THANDOG MORNI HILLS PANCHKULA </t>
  </si>
  <si>
    <t>Gurdeep.S@simplifyai.id</t>
  </si>
  <si>
    <t>Gurdeeprajput19@gmail.com</t>
  </si>
  <si>
    <t>-</t>
  </si>
  <si>
    <t>Smt. SHULEKHA DEVI</t>
  </si>
  <si>
    <t>Sh.DHRUB NARAYAN BHINDWAR</t>
  </si>
  <si>
    <t>AI ENGINEER INTREN</t>
  </si>
  <si>
    <t>KUPPK3598L</t>
  </si>
  <si>
    <t>KATAIYA WARD NO. 3, SUPAUL, BIHAR</t>
  </si>
  <si>
    <t>ravibh5522@gmail.com</t>
  </si>
  <si>
    <t>Ravi.K@simplifyai.id</t>
  </si>
  <si>
    <t>SIMPLIFY/DELL/REF/03</t>
  </si>
  <si>
    <t>Ramkishor tripathi</t>
  </si>
  <si>
    <t>Smt. NILESH Tripathi</t>
  </si>
  <si>
    <t>GEN AI INTREN</t>
  </si>
  <si>
    <t>BMTPT7441J</t>
  </si>
  <si>
    <t>MAWATIYAN PHAPHUND, AURAIYA UTTAR PARDESH</t>
  </si>
  <si>
    <t>manjultripathi663@gmail.com</t>
  </si>
  <si>
    <t>Manjul.T@simplifyai.id</t>
  </si>
  <si>
    <t>SIMPLIFY/DELL/REF/02</t>
  </si>
  <si>
    <t>Sh.DEEPAK KUMAR GULATI</t>
  </si>
  <si>
    <t xml:space="preserve">Smt. SEEMA </t>
  </si>
  <si>
    <t>EIIPG6960D</t>
  </si>
  <si>
    <t>H.NO.2561 STREET NO .2B INDIRA COLONY ,PATHANKOT, PUNJAB</t>
  </si>
  <si>
    <t>Raghav.G@simplifyai.id</t>
  </si>
  <si>
    <t>raghavgulati2002@gmail.com</t>
  </si>
  <si>
    <t>SIMPLIFY/DELL/REF/01</t>
  </si>
  <si>
    <t>UAN</t>
  </si>
  <si>
    <t>'101029085730</t>
  </si>
  <si>
    <t>Pension 
Company</t>
  </si>
  <si>
    <t>PF
Company</t>
  </si>
  <si>
    <t>Special
Allowance</t>
  </si>
  <si>
    <t>Net Salary/
Take Home</t>
  </si>
  <si>
    <t xml:space="preserve"> Gross Salary </t>
  </si>
  <si>
    <t xml:space="preserve">          – Employee PF (12% of Basic)</t>
  </si>
  <si>
    <t xml:space="preserve">          – Employee ESI (0.75% of Gross, if applicable)</t>
  </si>
  <si>
    <t xml:space="preserve">          – Professional Tax (if applicable)</t>
  </si>
  <si>
    <t xml:space="preserve">          – TDS (Income Tax, if applicable)</t>
  </si>
  <si>
    <t>Take-Home / Net Salary</t>
  </si>
  <si>
    <t>Gross Salary is the total salary before deductions, but excluding employer-side benefits like PF, ESI, or gratuity.</t>
  </si>
  <si>
    <t>Annexure 1: Salary &amp; Benefits</t>
  </si>
  <si>
    <t>Annual Fixed CTC (INR)</t>
  </si>
  <si>
    <t>Monthly</t>
  </si>
  <si>
    <t>Annual</t>
  </si>
  <si>
    <t>House Rent Allowance (HRA)</t>
  </si>
  <si>
    <t>Sub-total (A)</t>
  </si>
  <si>
    <t>Retiral &amp; Other Benefits</t>
  </si>
  <si>
    <t>Provident Fund (PF)</t>
  </si>
  <si>
    <t>Sub-total (B)</t>
  </si>
  <si>
    <t>A+B</t>
  </si>
  <si>
    <t>Performance linked Bonus (Variable)</t>
  </si>
  <si>
    <t>Annual Performance Bonus</t>
  </si>
  <si>
    <t>Sub-total ('C)</t>
  </si>
  <si>
    <t>Annual Total CTC (A)+(B)+('C)</t>
  </si>
  <si>
    <t>Monthly Net Take Home</t>
  </si>
  <si>
    <r>
      <t xml:space="preserve">ESI </t>
    </r>
    <r>
      <rPr>
        <b/>
        <i/>
        <sz val="9"/>
        <rFont val="Calibri"/>
        <family val="2"/>
      </rPr>
      <t>(If Applicable)</t>
    </r>
  </si>
  <si>
    <t>Date Joined</t>
  </si>
  <si>
    <t>Payment Mode</t>
  </si>
  <si>
    <t>Bank Transfer</t>
  </si>
  <si>
    <t>Bank</t>
  </si>
  <si>
    <t>PF Number</t>
  </si>
  <si>
    <t>ESI Number</t>
  </si>
  <si>
    <t>Salary Details</t>
  </si>
  <si>
    <t>Actual Payable Days</t>
  </si>
  <si>
    <t>Total Working Days</t>
  </si>
  <si>
    <t>Loss of Pay Days</t>
  </si>
  <si>
    <t>Days Payable</t>
  </si>
  <si>
    <t>Earnings</t>
  </si>
  <si>
    <t>Contributions</t>
  </si>
  <si>
    <t>Total Earnings (A)</t>
  </si>
  <si>
    <t>PF Employee</t>
  </si>
  <si>
    <t>ESI Employee</t>
  </si>
  <si>
    <t>Total Contributions (B)</t>
  </si>
  <si>
    <t>Taxes and Deductions</t>
  </si>
  <si>
    <t>Total Taxes and Deductions ©</t>
  </si>
  <si>
    <t>Net Salary in Words</t>
  </si>
  <si>
    <t>* This is a computer generated statement, does not require signature</t>
  </si>
  <si>
    <r>
      <t xml:space="preserve">** </t>
    </r>
    <r>
      <rPr>
        <b/>
        <sz val="9"/>
        <color theme="1"/>
        <rFont val="Calibri"/>
        <family val="2"/>
        <scheme val="minor"/>
      </rPr>
      <t>Note</t>
    </r>
    <r>
      <rPr>
        <sz val="9"/>
        <color theme="1"/>
        <rFont val="Calibri"/>
        <family val="2"/>
        <scheme val="minor"/>
      </rPr>
      <t xml:space="preserve"> - All amounts displayed in this payslip are in </t>
    </r>
    <r>
      <rPr>
        <b/>
        <sz val="9"/>
        <color theme="1"/>
        <rFont val="Calibri"/>
        <family val="2"/>
        <scheme val="minor"/>
      </rPr>
      <t>INR</t>
    </r>
  </si>
  <si>
    <t>TDS Calculation</t>
  </si>
  <si>
    <t>HRA Exemption</t>
  </si>
  <si>
    <t>80E</t>
  </si>
  <si>
    <t>80G</t>
  </si>
  <si>
    <t>80TTA / 80TTB</t>
  </si>
  <si>
    <t>Standard Deduction</t>
  </si>
  <si>
    <t>Tax Regime</t>
  </si>
  <si>
    <t>80CCD(1B) - NPS</t>
  </si>
  <si>
    <t>Feature</t>
  </si>
  <si>
    <t>Old Regime</t>
  </si>
  <si>
    <t>New Regime</t>
  </si>
  <si>
    <t>Income Tax Slabs</t>
  </si>
  <si>
    <t>₹0-2.5L: Nil, ₹2.5-5L: 5%, ₹5-10L: 20%, &gt;₹10L: 30%</t>
  </si>
  <si>
    <t>₹0-3L: Nil, ₹3-6L: 5%, ₹6-9L: 10%, ₹9-12L: 15%, ₹12-15L: 20%, &gt;₹15L: 30%</t>
  </si>
  <si>
    <t>₹50,000</t>
  </si>
  <si>
    <t>Section 80C (Investments, PPF, LIC)</t>
  </si>
  <si>
    <t>Up to ₹1.5L</t>
  </si>
  <si>
    <t>Not Allowed</t>
  </si>
  <si>
    <t>Section 80D (Health Insurance)</t>
  </si>
  <si>
    <t>₹25K (self/family) to ₹100K (senior parents)</t>
  </si>
  <si>
    <t>Section 80E (Education Loan Interest)</t>
  </si>
  <si>
    <t>Allowed (no limit, max 8 years)</t>
  </si>
  <si>
    <t>Section 80G (Donations)</t>
  </si>
  <si>
    <t>50–100% of donation amount</t>
  </si>
  <si>
    <t>Section 80TTA/80TTB (Savings Interest)</t>
  </si>
  <si>
    <t>₹10K / ₹50K</t>
  </si>
  <si>
    <t>Section 80CCD(1B) (NPS Additional)</t>
  </si>
  <si>
    <t>Allowed</t>
  </si>
  <si>
    <t>Allowed (based on rent and salary)</t>
  </si>
  <si>
    <t>LTA (Leave Travel)</t>
  </si>
  <si>
    <t>Rebate u/s 87A Limit</t>
  </si>
  <si>
    <t>₹5,00,000</t>
  </si>
  <si>
    <t>₹7,00,000</t>
  </si>
  <si>
    <t>Applicability of Cess</t>
  </si>
  <si>
    <t>4% on tax</t>
  </si>
  <si>
    <t>Old</t>
  </si>
  <si>
    <t>Standard Deduction is a fixed amount that is automatically deducted from your gross salary income to reduce your taxable income, without needing you to submit any investment proofs or bills.</t>
  </si>
  <si>
    <t>Section 80D allows tax deduction for premiums paid for health insurance for:
Covered Person	Deduction Limit
Self + Spouse + Children	₹25,000
Parents (non-senior)	+ ₹25,000
Parents (senior citizen)	+ ₹50,000
Self is a senior	₹50,000 instead of ₹25,000</t>
  </si>
  <si>
    <t>80D</t>
  </si>
  <si>
    <t>80C allows individuals to reduce taxable income by investing/spending in specific items.
₹1,50,000 per financial year (for individual &amp; HUF) under the Old Regime only.
Investment/Expense Type	Example
Life Insurance Premiums	LIC, HDFC Life, SBI Life etc.
Employee Provident Fund (EPF)	Automatically deducted
Public Provident Fund (PPF)	Government saving scheme
ELSS Mutual Funds	Tax-saving equity funds
5-Year Bank/Post Office FD	With tax-saving declaration
Tuition Fees for Children	Up to 2 children
Home Loan Principal Repayment	EMI principal part
National Savings Certificate (NSC)	Govt bonds
Sukanya Samriddhi Yojana	For girl child</t>
  </si>
  <si>
    <t>80C</t>
  </si>
  <si>
    <t>Non-Senior</t>
  </si>
  <si>
    <t>80D Calculation</t>
  </si>
  <si>
    <t>80E Calculation</t>
  </si>
  <si>
    <t>Section 80E allows a deduction for the interest paid on education loans taken for:
Self
Spouse
Children
Legal dependents
Deduction Type- Interest only (not principal)
Max Amount- No limit (but interest must be actually paid)
Deduction Period- Up to 8 years from the year of 1st interest payment
Regime- Old Regime only (not available in New)</t>
  </si>
  <si>
    <t>Interest paid</t>
  </si>
  <si>
    <t xml:space="preserve">Section 80G allows tax deduction on donations made to approved charitable institutions or relief funds. But not all donations are treated the same — the deduction depends on who you donated to.
Donation Type	Deduction Allowed
PM CARES Fund, National Defence Fund	100% without limit
Recognized NGOs / Educational Trusts	50% without limit
Applies only if tax regime is “Old” </t>
  </si>
  <si>
    <t>80G Calculation</t>
  </si>
  <si>
    <t>deductions for interest income, especially from savings accounts — into your tax engine.
What Are Sections 80TTA &amp; 80TTB?
Section	Eligible For	Max Deduction	Applies To
80TTA	Non-senior citizens	₹10,000	Savings account interest only
80TTB	Senior citizens (60+)	₹50,000	Savings + FD interest allowed
Only one can apply at a time — not both.</t>
  </si>
  <si>
    <t>80TTA &amp; 80TTB</t>
  </si>
  <si>
    <t>Interest Income</t>
  </si>
  <si>
    <t>80TTA/80TTB</t>
  </si>
  <si>
    <t>80CCD(1B)</t>
  </si>
  <si>
    <t>It allows an additional deduction of up to ₹50,000 for contributions made to the NPS (Tier 1 Account).
Rule	Details
Max Limit	₹50,000
Applies To	Individuals (not HUF)
Tax Regime	Old Regime only
Stacks on top of	80C (₹1.5L)</t>
  </si>
  <si>
    <t>NPS Contribution</t>
  </si>
  <si>
    <t>Type</t>
  </si>
  <si>
    <t>Donation Type</t>
  </si>
  <si>
    <t>Donation Amount</t>
  </si>
  <si>
    <t>Number of years 
claiming 80E so far</t>
  </si>
  <si>
    <t>80D Parents Seniority</t>
  </si>
  <si>
    <t>80D Parents</t>
  </si>
  <si>
    <t>80D Self/Family</t>
  </si>
  <si>
    <t>TDS This Month</t>
  </si>
  <si>
    <t>Remaining Tax</t>
  </si>
  <si>
    <t>TDS Deducted So Far</t>
  </si>
  <si>
    <t>Tax Payable (Annual)</t>
  </si>
  <si>
    <t>Taxable Income</t>
  </si>
  <si>
    <t>Total Deductions</t>
  </si>
  <si>
    <t>80D Deduction</t>
  </si>
  <si>
    <t>80C Deduction</t>
  </si>
  <si>
    <t>Total Income</t>
  </si>
  <si>
    <t>Income from Other Source (Interest, Rent received, Freelance income)</t>
  </si>
  <si>
    <t>Performance Bonus</t>
  </si>
  <si>
    <t>To Be filled</t>
  </si>
  <si>
    <t>Autofill</t>
  </si>
  <si>
    <t>TTA</t>
  </si>
  <si>
    <t>Joining Date</t>
  </si>
  <si>
    <t>Month</t>
  </si>
  <si>
    <t>Net Pay</t>
  </si>
  <si>
    <t>Archived On</t>
  </si>
  <si>
    <t>Jun''25</t>
  </si>
  <si>
    <t>Locked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</si>
</sst>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_ * #,##0_ ;_ * \-#,##0_ ;_ * &quot;-&quot;??_ ;_ @_ "/>
    <numFmt numFmtId="165" formatCode="[$-14009]dd\ mmmm\ yyyy;@"/>
    <numFmt numFmtId="166" formatCode="[$-F800]dddd\,\ mmmm\ dd\,\ yyyy"/>
    <numFmt numFmtId="167" formatCode="##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</font>
    <font>
      <b/>
      <i/>
      <sz val="9"/>
      <name val="Calibri"/>
      <family val="2"/>
    </font>
    <font>
      <b/>
      <u/>
      <sz val="9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EBF7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7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/>
    <xf numFmtId="0" fontId="3" fillId="0" borderId="8" xfId="0" applyFont="1" applyBorder="1" applyAlignment="1">
      <alignment vertical="center" wrapText="1"/>
    </xf>
    <xf numFmtId="0" fontId="3" fillId="0" borderId="8" xfId="0" applyFont="1" applyBorder="1"/>
    <xf numFmtId="0" fontId="3" fillId="0" borderId="2" xfId="0" applyFont="1" applyBorder="1"/>
    <xf numFmtId="0" fontId="3" fillId="0" borderId="10" xfId="0" applyFont="1" applyBorder="1"/>
    <xf numFmtId="0" fontId="3" fillId="0" borderId="22" xfId="0" applyFont="1" applyBorder="1"/>
    <xf numFmtId="0" fontId="3" fillId="0" borderId="18" xfId="0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21" xfId="0" applyFont="1" applyBorder="1"/>
    <xf numFmtId="3" fontId="6" fillId="0" borderId="8" xfId="1" applyNumberFormat="1" applyFont="1" applyBorder="1" applyAlignment="1" applyProtection="1">
      <alignment horizontal="center"/>
    </xf>
    <xf numFmtId="3" fontId="6" fillId="0" borderId="1" xfId="1" applyNumberFormat="1" applyFont="1" applyFill="1" applyBorder="1" applyAlignment="1" applyProtection="1">
      <alignment horizontal="center"/>
    </xf>
    <xf numFmtId="0" fontId="3" fillId="0" borderId="35" xfId="0" applyFont="1" applyBorder="1"/>
    <xf numFmtId="0" fontId="3" fillId="0" borderId="36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3" fontId="5" fillId="5" borderId="20" xfId="1" applyNumberFormat="1" applyFont="1" applyFill="1" applyBorder="1" applyAlignment="1" applyProtection="1">
      <alignment horizontal="center"/>
    </xf>
    <xf numFmtId="3" fontId="3" fillId="0" borderId="0" xfId="0" applyNumberFormat="1" applyFont="1"/>
    <xf numFmtId="3" fontId="9" fillId="0" borderId="1" xfId="1" applyNumberFormat="1" applyFont="1" applyFill="1" applyBorder="1" applyAlignment="1" applyProtection="1">
      <alignment horizontal="center"/>
    </xf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5" xfId="0" applyFont="1" applyFill="1" applyBorder="1" applyAlignment="1"/>
    <xf numFmtId="0" fontId="3" fillId="0" borderId="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vertical="center"/>
    </xf>
    <xf numFmtId="0" fontId="4" fillId="2" borderId="20" xfId="0" applyFont="1" applyFill="1" applyBorder="1" applyAlignment="1">
      <alignment vertical="center"/>
    </xf>
    <xf numFmtId="0" fontId="4" fillId="2" borderId="14" xfId="0" applyFont="1" applyFill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4" fillId="2" borderId="15" xfId="0" applyFont="1" applyFill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5" fillId="4" borderId="19" xfId="0" applyFont="1" applyFill="1" applyBorder="1"/>
    <xf numFmtId="0" fontId="5" fillId="4" borderId="23" xfId="0" applyFont="1" applyFill="1" applyBorder="1"/>
    <xf numFmtId="0" fontId="5" fillId="4" borderId="20" xfId="0" applyFont="1" applyFill="1" applyBorder="1"/>
    <xf numFmtId="0" fontId="4" fillId="3" borderId="25" xfId="0" applyFont="1" applyFill="1" applyBorder="1" applyAlignment="1" applyProtection="1">
      <alignment vertical="center" wrapText="1"/>
      <protection locked="0"/>
    </xf>
    <xf numFmtId="0" fontId="3" fillId="0" borderId="0" xfId="0" applyFont="1" applyProtection="1"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4" fillId="3" borderId="40" xfId="0" applyFont="1" applyFill="1" applyBorder="1" applyAlignment="1" applyProtection="1">
      <alignment vertical="center"/>
      <protection locked="0"/>
    </xf>
    <xf numFmtId="0" fontId="4" fillId="3" borderId="24" xfId="0" applyFont="1" applyFill="1" applyBorder="1" applyAlignment="1" applyProtection="1">
      <alignment vertical="center"/>
      <protection locked="0"/>
    </xf>
    <xf numFmtId="0" fontId="4" fillId="3" borderId="24" xfId="0" applyFont="1" applyFill="1" applyBorder="1" applyAlignment="1" applyProtection="1">
      <alignment vertical="center" wrapText="1"/>
      <protection locked="0"/>
    </xf>
    <xf numFmtId="0" fontId="4" fillId="3" borderId="37" xfId="0" applyFont="1" applyFill="1" applyBorder="1" applyAlignment="1" applyProtection="1">
      <alignment vertical="center" wrapText="1"/>
      <protection locked="0"/>
    </xf>
    <xf numFmtId="0" fontId="4" fillId="3" borderId="13" xfId="0" applyFont="1" applyFill="1" applyBorder="1" applyAlignment="1" applyProtection="1">
      <alignment vertical="center" wrapText="1"/>
      <protection locked="0"/>
    </xf>
    <xf numFmtId="0" fontId="4" fillId="3" borderId="37" xfId="0" applyFont="1" applyFill="1" applyBorder="1" applyAlignment="1" applyProtection="1">
      <alignment vertical="center"/>
      <protection locked="0"/>
    </xf>
    <xf numFmtId="0" fontId="4" fillId="3" borderId="49" xfId="0" applyFont="1" applyFill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3" borderId="38" xfId="0" applyFont="1" applyFill="1" applyBorder="1" applyAlignment="1" applyProtection="1">
      <alignment horizontal="center"/>
      <protection locked="0"/>
    </xf>
    <xf numFmtId="164" fontId="3" fillId="0" borderId="5" xfId="1" applyNumberFormat="1" applyFont="1" applyBorder="1" applyProtection="1">
      <protection locked="0"/>
    </xf>
    <xf numFmtId="0" fontId="4" fillId="3" borderId="39" xfId="0" applyFont="1" applyFill="1" applyBorder="1" applyAlignment="1" applyProtection="1">
      <alignment horizontal="center"/>
      <protection locked="0"/>
    </xf>
    <xf numFmtId="0" fontId="3" fillId="0" borderId="7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0" borderId="30" xfId="0" applyFont="1" applyBorder="1" applyProtection="1">
      <protection locked="0"/>
    </xf>
    <xf numFmtId="164" fontId="3" fillId="0" borderId="7" xfId="1" applyNumberFormat="1" applyFont="1" applyBorder="1" applyProtection="1">
      <protection locked="0"/>
    </xf>
    <xf numFmtId="164" fontId="3" fillId="0" borderId="1" xfId="1" applyNumberFormat="1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3" fillId="0" borderId="22" xfId="0" applyFont="1" applyBorder="1" applyProtection="1">
      <protection locked="0"/>
    </xf>
    <xf numFmtId="164" fontId="3" fillId="0" borderId="22" xfId="1" applyNumberFormat="1" applyFont="1" applyBorder="1" applyProtection="1">
      <protection locked="0"/>
    </xf>
    <xf numFmtId="164" fontId="3" fillId="0" borderId="7" xfId="1" applyNumberFormat="1" applyFont="1" applyBorder="1" applyAlignment="1" applyProtection="1">
      <alignment horizontal="center"/>
      <protection locked="0"/>
    </xf>
    <xf numFmtId="164" fontId="3" fillId="0" borderId="30" xfId="1" applyNumberFormat="1" applyFont="1" applyBorder="1" applyAlignment="1" applyProtection="1">
      <alignment horizontal="center"/>
      <protection locked="0"/>
    </xf>
    <xf numFmtId="0" fontId="3" fillId="0" borderId="15" xfId="0" applyFont="1" applyBorder="1" applyProtection="1">
      <protection locked="0"/>
    </xf>
    <xf numFmtId="0" fontId="3" fillId="0" borderId="9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31" xfId="0" applyFont="1" applyBorder="1" applyProtection="1">
      <protection locked="0"/>
    </xf>
    <xf numFmtId="164" fontId="3" fillId="0" borderId="9" xfId="1" applyNumberFormat="1" applyFont="1" applyBorder="1" applyProtection="1">
      <protection locked="0"/>
    </xf>
    <xf numFmtId="164" fontId="3" fillId="0" borderId="2" xfId="1" applyNumberFormat="1" applyFont="1" applyBorder="1" applyProtection="1">
      <protection locked="0"/>
    </xf>
    <xf numFmtId="0" fontId="3" fillId="0" borderId="12" xfId="0" applyFont="1" applyBorder="1" applyProtection="1">
      <protection locked="0"/>
    </xf>
    <xf numFmtId="0" fontId="4" fillId="3" borderId="15" xfId="0" applyFont="1" applyFill="1" applyBorder="1" applyAlignment="1" applyProtection="1">
      <alignment horizontal="center"/>
      <protection locked="0"/>
    </xf>
    <xf numFmtId="0" fontId="3" fillId="0" borderId="17" xfId="0" applyFont="1" applyBorder="1" applyProtection="1">
      <protection locked="0"/>
    </xf>
    <xf numFmtId="0" fontId="3" fillId="0" borderId="29" xfId="0" applyFont="1" applyBorder="1" applyProtection="1">
      <protection locked="0"/>
    </xf>
    <xf numFmtId="164" fontId="3" fillId="0" borderId="21" xfId="1" applyNumberFormat="1" applyFont="1" applyBorder="1" applyProtection="1">
      <protection locked="0"/>
    </xf>
    <xf numFmtId="0" fontId="3" fillId="0" borderId="21" xfId="0" applyFont="1" applyBorder="1" applyProtection="1">
      <protection locked="0"/>
    </xf>
    <xf numFmtId="0" fontId="4" fillId="3" borderId="16" xfId="0" applyFont="1" applyFill="1" applyBorder="1" applyAlignment="1" applyProtection="1">
      <alignment horizontal="center"/>
      <protection locked="0"/>
    </xf>
    <xf numFmtId="164" fontId="3" fillId="0" borderId="9" xfId="1" applyNumberFormat="1" applyFont="1" applyBorder="1" applyAlignment="1" applyProtection="1">
      <alignment horizontal="center"/>
      <protection locked="0"/>
    </xf>
    <xf numFmtId="164" fontId="3" fillId="0" borderId="31" xfId="1" applyNumberFormat="1" applyFont="1" applyBorder="1" applyAlignment="1" applyProtection="1">
      <alignment horizontal="center"/>
      <protection locked="0"/>
    </xf>
    <xf numFmtId="0" fontId="3" fillId="0" borderId="16" xfId="0" applyFont="1" applyBorder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7" borderId="5" xfId="1" applyNumberFormat="1" applyFont="1" applyFill="1" applyBorder="1" applyProtection="1"/>
    <xf numFmtId="164" fontId="3" fillId="7" borderId="1" xfId="1" applyNumberFormat="1" applyFont="1" applyFill="1" applyBorder="1" applyProtection="1"/>
    <xf numFmtId="164" fontId="3" fillId="7" borderId="2" xfId="1" applyNumberFormat="1" applyFont="1" applyFill="1" applyBorder="1" applyProtection="1"/>
    <xf numFmtId="0" fontId="4" fillId="4" borderId="25" xfId="0" applyFont="1" applyFill="1" applyBorder="1" applyAlignment="1" applyProtection="1">
      <alignment vertical="center" wrapText="1"/>
      <protection locked="0"/>
    </xf>
    <xf numFmtId="0" fontId="3" fillId="8" borderId="4" xfId="0" applyFont="1" applyFill="1" applyBorder="1" applyProtection="1">
      <protection locked="0"/>
    </xf>
    <xf numFmtId="0" fontId="3" fillId="8" borderId="5" xfId="0" applyFont="1" applyFill="1" applyBorder="1" applyProtection="1">
      <protection locked="0"/>
    </xf>
    <xf numFmtId="0" fontId="3" fillId="8" borderId="5" xfId="0" applyFont="1" applyFill="1" applyBorder="1" applyAlignment="1" applyProtection="1">
      <protection locked="0"/>
    </xf>
    <xf numFmtId="15" fontId="3" fillId="8" borderId="5" xfId="0" applyNumberFormat="1" applyFont="1" applyFill="1" applyBorder="1" applyProtection="1">
      <protection locked="0"/>
    </xf>
    <xf numFmtId="0" fontId="3" fillId="8" borderId="5" xfId="0" applyFont="1" applyFill="1" applyBorder="1" applyAlignment="1" applyProtection="1">
      <alignment horizontal="left"/>
      <protection locked="0"/>
    </xf>
    <xf numFmtId="0" fontId="3" fillId="8" borderId="7" xfId="0" applyFont="1" applyFill="1" applyBorder="1" applyProtection="1">
      <protection locked="0"/>
    </xf>
    <xf numFmtId="0" fontId="3" fillId="8" borderId="1" xfId="0" applyFont="1" applyFill="1" applyBorder="1" applyProtection="1">
      <protection locked="0"/>
    </xf>
    <xf numFmtId="0" fontId="3" fillId="8" borderId="1" xfId="0" applyFont="1" applyFill="1" applyBorder="1" applyAlignment="1" applyProtection="1">
      <alignment vertical="center"/>
      <protection locked="0"/>
    </xf>
    <xf numFmtId="15" fontId="3" fillId="8" borderId="1" xfId="0" applyNumberFormat="1" applyFont="1" applyFill="1" applyBorder="1" applyProtection="1">
      <protection locked="0"/>
    </xf>
    <xf numFmtId="0" fontId="3" fillId="8" borderId="1" xfId="0" applyFont="1" applyFill="1" applyBorder="1" applyAlignment="1" applyProtection="1">
      <alignment horizontal="left" vertical="center"/>
      <protection locked="0"/>
    </xf>
    <xf numFmtId="0" fontId="3" fillId="8" borderId="1" xfId="0" applyFont="1" applyFill="1" applyBorder="1" applyAlignment="1" applyProtection="1">
      <alignment horizontal="center" vertical="center"/>
      <protection locked="0"/>
    </xf>
    <xf numFmtId="0" fontId="3" fillId="8" borderId="1" xfId="0" applyFont="1" applyFill="1" applyBorder="1" applyAlignment="1" applyProtection="1">
      <protection locked="0"/>
    </xf>
    <xf numFmtId="0" fontId="3" fillId="8" borderId="9" xfId="0" applyFont="1" applyFill="1" applyBorder="1" applyProtection="1">
      <protection locked="0"/>
    </xf>
    <xf numFmtId="0" fontId="3" fillId="8" borderId="2" xfId="0" applyFont="1" applyFill="1" applyBorder="1" applyAlignment="1" applyProtection="1">
      <alignment horizontal="left" vertical="center"/>
      <protection locked="0"/>
    </xf>
    <xf numFmtId="0" fontId="3" fillId="8" borderId="2" xfId="0" applyFont="1" applyFill="1" applyBorder="1" applyAlignment="1" applyProtection="1">
      <alignment vertical="center"/>
      <protection locked="0"/>
    </xf>
    <xf numFmtId="15" fontId="3" fillId="8" borderId="2" xfId="0" applyNumberFormat="1" applyFont="1" applyFill="1" applyBorder="1" applyProtection="1">
      <protection locked="0"/>
    </xf>
    <xf numFmtId="0" fontId="3" fillId="8" borderId="2" xfId="0" applyFont="1" applyFill="1" applyBorder="1" applyProtection="1">
      <protection locked="0"/>
    </xf>
    <xf numFmtId="0" fontId="3" fillId="8" borderId="2" xfId="0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Protection="1">
      <protection locked="0"/>
    </xf>
    <xf numFmtId="0" fontId="3" fillId="0" borderId="0" xfId="0" applyFont="1" applyFill="1" applyProtection="1"/>
    <xf numFmtId="164" fontId="3" fillId="0" borderId="22" xfId="1" applyNumberFormat="1" applyFont="1" applyFill="1" applyBorder="1" applyProtection="1"/>
    <xf numFmtId="164" fontId="3" fillId="0" borderId="1" xfId="1" applyNumberFormat="1" applyFont="1" applyFill="1" applyBorder="1" applyProtection="1"/>
    <xf numFmtId="164" fontId="3" fillId="0" borderId="2" xfId="1" applyNumberFormat="1" applyFont="1" applyFill="1" applyBorder="1" applyProtection="1"/>
    <xf numFmtId="0" fontId="3" fillId="7" borderId="0" xfId="0" applyFont="1" applyFill="1" applyProtection="1">
      <protection locked="0"/>
    </xf>
    <xf numFmtId="164" fontId="3" fillId="9" borderId="5" xfId="1" applyNumberFormat="1" applyFont="1" applyFill="1" applyBorder="1" applyProtection="1">
      <protection locked="0"/>
    </xf>
    <xf numFmtId="164" fontId="3" fillId="9" borderId="1" xfId="1" applyNumberFormat="1" applyFont="1" applyFill="1" applyBorder="1" applyProtection="1">
      <protection locked="0"/>
    </xf>
    <xf numFmtId="164" fontId="3" fillId="9" borderId="2" xfId="1" applyNumberFormat="1" applyFont="1" applyFill="1" applyBorder="1" applyProtection="1">
      <protection locked="0"/>
    </xf>
    <xf numFmtId="0" fontId="3" fillId="9" borderId="5" xfId="0" applyFont="1" applyFill="1" applyBorder="1" applyProtection="1">
      <protection locked="0"/>
    </xf>
    <xf numFmtId="0" fontId="3" fillId="9" borderId="47" xfId="0" applyFont="1" applyFill="1" applyBorder="1" applyProtection="1">
      <protection locked="0"/>
    </xf>
    <xf numFmtId="164" fontId="3" fillId="9" borderId="4" xfId="1" applyNumberFormat="1" applyFont="1" applyFill="1" applyBorder="1" applyProtection="1">
      <protection locked="0"/>
    </xf>
    <xf numFmtId="0" fontId="3" fillId="9" borderId="1" xfId="0" applyFont="1" applyFill="1" applyBorder="1" applyProtection="1">
      <protection locked="0"/>
    </xf>
    <xf numFmtId="0" fontId="3" fillId="9" borderId="30" xfId="0" applyFont="1" applyFill="1" applyBorder="1" applyProtection="1">
      <protection locked="0"/>
    </xf>
    <xf numFmtId="164" fontId="3" fillId="9" borderId="7" xfId="1" applyNumberFormat="1" applyFont="1" applyFill="1" applyBorder="1" applyProtection="1">
      <protection locked="0"/>
    </xf>
    <xf numFmtId="0" fontId="3" fillId="9" borderId="2" xfId="0" applyFont="1" applyFill="1" applyBorder="1" applyProtection="1">
      <protection locked="0"/>
    </xf>
    <xf numFmtId="0" fontId="3" fillId="9" borderId="31" xfId="0" applyFont="1" applyFill="1" applyBorder="1" applyProtection="1">
      <protection locked="0"/>
    </xf>
    <xf numFmtId="164" fontId="3" fillId="9" borderId="9" xfId="1" applyNumberFormat="1" applyFont="1" applyFill="1" applyBorder="1" applyProtection="1">
      <protection locked="0"/>
    </xf>
    <xf numFmtId="15" fontId="3" fillId="9" borderId="1" xfId="0" applyNumberFormat="1" applyFont="1" applyFill="1" applyBorder="1" applyProtection="1">
      <protection locked="0"/>
    </xf>
    <xf numFmtId="15" fontId="3" fillId="9" borderId="2" xfId="0" applyNumberFormat="1" applyFont="1" applyFill="1" applyBorder="1" applyProtection="1">
      <protection locked="0"/>
    </xf>
    <xf numFmtId="164" fontId="3" fillId="9" borderId="4" xfId="1" applyNumberFormat="1" applyFont="1" applyFill="1" applyBorder="1" applyAlignment="1" applyProtection="1">
      <alignment horizontal="center"/>
      <protection locked="0"/>
    </xf>
    <xf numFmtId="164" fontId="3" fillId="9" borderId="47" xfId="1" applyNumberFormat="1" applyFont="1" applyFill="1" applyBorder="1" applyAlignment="1" applyProtection="1">
      <alignment horizontal="center"/>
      <protection locked="0"/>
    </xf>
    <xf numFmtId="164" fontId="3" fillId="9" borderId="7" xfId="1" applyNumberFormat="1" applyFont="1" applyFill="1" applyBorder="1" applyAlignment="1" applyProtection="1">
      <alignment horizontal="center"/>
      <protection locked="0"/>
    </xf>
    <xf numFmtId="164" fontId="3" fillId="9" borderId="30" xfId="1" applyNumberFormat="1" applyFont="1" applyFill="1" applyBorder="1" applyAlignment="1" applyProtection="1">
      <alignment horizontal="center"/>
      <protection locked="0"/>
    </xf>
    <xf numFmtId="9" fontId="3" fillId="9" borderId="47" xfId="0" applyNumberFormat="1" applyFont="1" applyFill="1" applyBorder="1" applyProtection="1">
      <protection locked="0"/>
    </xf>
    <xf numFmtId="0" fontId="3" fillId="9" borderId="7" xfId="0" applyFont="1" applyFill="1" applyBorder="1" applyProtection="1">
      <protection locked="0"/>
    </xf>
    <xf numFmtId="14" fontId="3" fillId="0" borderId="0" xfId="0" applyNumberFormat="1" applyFont="1" applyProtection="1">
      <protection locked="0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Fill="1" applyProtection="1">
      <protection locked="0"/>
    </xf>
    <xf numFmtId="0" fontId="4" fillId="3" borderId="24" xfId="0" applyFont="1" applyFill="1" applyBorder="1" applyAlignment="1" applyProtection="1">
      <alignment vertical="center" wrapText="1"/>
    </xf>
    <xf numFmtId="0" fontId="4" fillId="3" borderId="24" xfId="0" applyFont="1" applyFill="1" applyBorder="1" applyAlignment="1" applyProtection="1">
      <alignment vertical="center"/>
    </xf>
    <xf numFmtId="0" fontId="3" fillId="7" borderId="5" xfId="0" applyFont="1" applyFill="1" applyBorder="1" applyProtection="1"/>
    <xf numFmtId="0" fontId="3" fillId="0" borderId="22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3" fillId="0" borderId="0" xfId="0" applyFont="1" applyProtection="1"/>
    <xf numFmtId="0" fontId="3" fillId="7" borderId="47" xfId="0" applyFont="1" applyFill="1" applyBorder="1" applyProtection="1"/>
    <xf numFmtId="0" fontId="3" fillId="0" borderId="29" xfId="0" applyFont="1" applyBorder="1" applyProtection="1"/>
    <xf numFmtId="0" fontId="3" fillId="0" borderId="30" xfId="0" applyFont="1" applyBorder="1" applyProtection="1"/>
    <xf numFmtId="0" fontId="3" fillId="0" borderId="31" xfId="0" applyFont="1" applyBorder="1" applyProtection="1"/>
    <xf numFmtId="164" fontId="3" fillId="0" borderId="29" xfId="1" applyNumberFormat="1" applyFont="1" applyBorder="1" applyProtection="1"/>
    <xf numFmtId="164" fontId="3" fillId="0" borderId="30" xfId="1" applyNumberFormat="1" applyFont="1" applyBorder="1" applyProtection="1"/>
    <xf numFmtId="164" fontId="3" fillId="0" borderId="31" xfId="1" applyNumberFormat="1" applyFont="1" applyBorder="1" applyProtection="1"/>
    <xf numFmtId="164" fontId="3" fillId="0" borderId="21" xfId="1" applyNumberFormat="1" applyFont="1" applyBorder="1" applyProtection="1"/>
    <xf numFmtId="164" fontId="3" fillId="0" borderId="7" xfId="1" applyNumberFormat="1" applyFont="1" applyBorder="1" applyProtection="1"/>
    <xf numFmtId="164" fontId="3" fillId="0" borderId="9" xfId="1" applyNumberFormat="1" applyFont="1" applyBorder="1" applyProtection="1"/>
    <xf numFmtId="164" fontId="3" fillId="0" borderId="22" xfId="1" applyNumberFormat="1" applyFont="1" applyBorder="1" applyProtection="1"/>
    <xf numFmtId="164" fontId="3" fillId="0" borderId="1" xfId="1" applyNumberFormat="1" applyFont="1" applyBorder="1" applyProtection="1"/>
    <xf numFmtId="164" fontId="3" fillId="0" borderId="2" xfId="1" applyNumberFormat="1" applyFont="1" applyBorder="1" applyProtection="1"/>
    <xf numFmtId="43" fontId="3" fillId="0" borderId="0" xfId="0" applyNumberFormat="1" applyFont="1" applyProtection="1"/>
    <xf numFmtId="43" fontId="3" fillId="0" borderId="1" xfId="0" applyNumberFormat="1" applyFont="1" applyBorder="1" applyProtection="1"/>
    <xf numFmtId="0" fontId="3" fillId="7" borderId="1" xfId="0" applyFont="1" applyFill="1" applyBorder="1" applyProtection="1"/>
    <xf numFmtId="0" fontId="3" fillId="7" borderId="2" xfId="0" applyFont="1" applyFill="1" applyBorder="1" applyProtection="1"/>
    <xf numFmtId="0" fontId="3" fillId="7" borderId="30" xfId="0" applyFont="1" applyFill="1" applyBorder="1" applyProtection="1"/>
    <xf numFmtId="0" fontId="3" fillId="7" borderId="31" xfId="0" applyFont="1" applyFill="1" applyBorder="1" applyProtection="1"/>
    <xf numFmtId="164" fontId="3" fillId="7" borderId="47" xfId="1" applyNumberFormat="1" applyFont="1" applyFill="1" applyBorder="1" applyProtection="1"/>
    <xf numFmtId="164" fontId="3" fillId="7" borderId="30" xfId="1" applyNumberFormat="1" applyFont="1" applyFill="1" applyBorder="1" applyProtection="1"/>
    <xf numFmtId="164" fontId="3" fillId="7" borderId="31" xfId="1" applyNumberFormat="1" applyFont="1" applyFill="1" applyBorder="1" applyProtection="1"/>
    <xf numFmtId="164" fontId="3" fillId="7" borderId="4" xfId="1" applyNumberFormat="1" applyFont="1" applyFill="1" applyBorder="1" applyProtection="1"/>
    <xf numFmtId="164" fontId="3" fillId="7" borderId="7" xfId="1" applyNumberFormat="1" applyFont="1" applyFill="1" applyBorder="1" applyProtection="1"/>
    <xf numFmtId="164" fontId="3" fillId="7" borderId="9" xfId="1" applyNumberFormat="1" applyFont="1" applyFill="1" applyBorder="1" applyProtection="1"/>
    <xf numFmtId="0" fontId="3" fillId="9" borderId="4" xfId="0" applyFont="1" applyFill="1" applyBorder="1" applyProtection="1">
      <protection locked="0"/>
    </xf>
    <xf numFmtId="0" fontId="3" fillId="9" borderId="6" xfId="0" applyFont="1" applyFill="1" applyBorder="1" applyProtection="1">
      <protection locked="0"/>
    </xf>
    <xf numFmtId="0" fontId="3" fillId="9" borderId="8" xfId="0" applyFont="1" applyFill="1" applyBorder="1" applyProtection="1">
      <protection locked="0"/>
    </xf>
    <xf numFmtId="0" fontId="3" fillId="9" borderId="9" xfId="0" applyFont="1" applyFill="1" applyBorder="1" applyProtection="1">
      <protection locked="0"/>
    </xf>
    <xf numFmtId="0" fontId="3" fillId="9" borderId="10" xfId="0" applyFont="1" applyFill="1" applyBorder="1" applyProtection="1">
      <protection locked="0"/>
    </xf>
    <xf numFmtId="164" fontId="3" fillId="7" borderId="1" xfId="0" applyNumberFormat="1" applyFont="1" applyFill="1" applyBorder="1" applyProtection="1"/>
    <xf numFmtId="0" fontId="3" fillId="0" borderId="4" xfId="0" quotePrefix="1" applyFont="1" applyFill="1" applyBorder="1" applyAlignment="1" applyProtection="1">
      <alignment horizontal="center"/>
      <protection locked="0"/>
    </xf>
    <xf numFmtId="164" fontId="3" fillId="7" borderId="5" xfId="0" applyNumberFormat="1" applyFont="1" applyFill="1" applyBorder="1" applyProtection="1"/>
    <xf numFmtId="0" fontId="3" fillId="0" borderId="7" xfId="0" quotePrefix="1" applyFont="1" applyFill="1" applyBorder="1" applyAlignment="1" applyProtection="1">
      <alignment horizontal="center"/>
      <protection locked="0"/>
    </xf>
    <xf numFmtId="0" fontId="3" fillId="0" borderId="9" xfId="0" quotePrefix="1" applyFont="1" applyFill="1" applyBorder="1" applyAlignment="1" applyProtection="1">
      <alignment horizontal="center"/>
      <protection locked="0"/>
    </xf>
    <xf numFmtId="164" fontId="3" fillId="7" borderId="2" xfId="0" applyNumberFormat="1" applyFont="1" applyFill="1" applyBorder="1" applyProtection="1"/>
    <xf numFmtId="164" fontId="3" fillId="9" borderId="9" xfId="1" applyNumberFormat="1" applyFont="1" applyFill="1" applyBorder="1" applyAlignment="1" applyProtection="1">
      <alignment horizontal="center"/>
      <protection locked="0"/>
    </xf>
    <xf numFmtId="164" fontId="3" fillId="9" borderId="31" xfId="1" applyNumberFormat="1" applyFont="1" applyFill="1" applyBorder="1" applyAlignment="1" applyProtection="1">
      <alignment horizontal="center"/>
      <protection locked="0"/>
    </xf>
    <xf numFmtId="3" fontId="5" fillId="0" borderId="1" xfId="0" applyNumberFormat="1" applyFont="1" applyBorder="1" applyAlignment="1" applyProtection="1">
      <alignment horizontal="center"/>
    </xf>
    <xf numFmtId="3" fontId="5" fillId="0" borderId="8" xfId="0" applyNumberFormat="1" applyFont="1" applyBorder="1" applyAlignment="1" applyProtection="1">
      <alignment horizontal="center"/>
    </xf>
    <xf numFmtId="3" fontId="6" fillId="0" borderId="8" xfId="0" applyNumberFormat="1" applyFont="1" applyBorder="1" applyAlignment="1" applyProtection="1">
      <alignment horizontal="center"/>
    </xf>
    <xf numFmtId="0" fontId="8" fillId="3" borderId="32" xfId="0" applyFont="1" applyFill="1" applyBorder="1" applyAlignment="1" applyProtection="1">
      <alignment horizontal="center" vertical="center"/>
    </xf>
    <xf numFmtId="0" fontId="5" fillId="5" borderId="19" xfId="0" applyFont="1" applyFill="1" applyBorder="1" applyAlignment="1" applyProtection="1"/>
    <xf numFmtId="0" fontId="6" fillId="0" borderId="7" xfId="0" applyFont="1" applyBorder="1" applyAlignment="1" applyProtection="1"/>
    <xf numFmtId="0" fontId="5" fillId="0" borderId="7" xfId="0" applyFont="1" applyBorder="1" applyAlignment="1" applyProtection="1"/>
    <xf numFmtId="0" fontId="5" fillId="0" borderId="42" xfId="0" applyFont="1" applyBorder="1" applyAlignment="1" applyProtection="1"/>
    <xf numFmtId="0" fontId="5" fillId="6" borderId="39" xfId="0" applyFont="1" applyFill="1" applyBorder="1" applyAlignment="1" applyProtection="1">
      <alignment horizontal="left"/>
    </xf>
    <xf numFmtId="0" fontId="6" fillId="6" borderId="7" xfId="0" applyFont="1" applyFill="1" applyBorder="1" applyAlignment="1" applyProtection="1"/>
    <xf numFmtId="0" fontId="5" fillId="6" borderId="1" xfId="0" applyFont="1" applyFill="1" applyBorder="1" applyAlignment="1" applyProtection="1">
      <alignment horizontal="center"/>
    </xf>
    <xf numFmtId="0" fontId="5" fillId="6" borderId="8" xfId="0" applyFont="1" applyFill="1" applyBorder="1" applyAlignment="1" applyProtection="1">
      <alignment horizontal="center"/>
    </xf>
    <xf numFmtId="3" fontId="5" fillId="6" borderId="34" xfId="0" applyNumberFormat="1" applyFont="1" applyFill="1" applyBorder="1" applyAlignment="1" applyProtection="1">
      <alignment horizontal="center"/>
    </xf>
    <xf numFmtId="3" fontId="5" fillId="6" borderId="41" xfId="0" applyNumberFormat="1" applyFont="1" applyFill="1" applyBorder="1" applyAlignment="1" applyProtection="1">
      <alignment horizontal="center"/>
    </xf>
    <xf numFmtId="3" fontId="6" fillId="0" borderId="1" xfId="0" applyNumberFormat="1" applyFont="1" applyBorder="1" applyAlignment="1" applyProtection="1">
      <alignment horizontal="center"/>
    </xf>
    <xf numFmtId="3" fontId="5" fillId="0" borderId="43" xfId="0" applyNumberFormat="1" applyFont="1" applyBorder="1" applyAlignment="1" applyProtection="1">
      <alignment horizontal="center"/>
    </xf>
    <xf numFmtId="3" fontId="5" fillId="0" borderId="44" xfId="0" applyNumberFormat="1" applyFont="1" applyBorder="1" applyAlignment="1" applyProtection="1">
      <alignment horizontal="center"/>
    </xf>
    <xf numFmtId="3" fontId="5" fillId="5" borderId="23" xfId="0" applyNumberFormat="1" applyFont="1" applyFill="1" applyBorder="1" applyAlignment="1" applyProtection="1">
      <alignment horizontal="center"/>
    </xf>
    <xf numFmtId="0" fontId="8" fillId="3" borderId="40" xfId="0" applyFont="1" applyFill="1" applyBorder="1" applyAlignment="1" applyProtection="1">
      <alignment horizontal="center" vertical="center"/>
    </xf>
    <xf numFmtId="164" fontId="3" fillId="0" borderId="1" xfId="1" applyNumberFormat="1" applyFont="1" applyBorder="1" applyAlignment="1">
      <alignment horizontal="center"/>
    </xf>
    <xf numFmtId="164" fontId="3" fillId="0" borderId="8" xfId="1" applyNumberFormat="1" applyFont="1" applyBorder="1" applyAlignment="1">
      <alignment horizontal="center"/>
    </xf>
    <xf numFmtId="0" fontId="3" fillId="0" borderId="50" xfId="0" applyFont="1" applyBorder="1"/>
    <xf numFmtId="0" fontId="3" fillId="0" borderId="51" xfId="0" applyFont="1" applyBorder="1"/>
    <xf numFmtId="0" fontId="3" fillId="0" borderId="51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1" fillId="0" borderId="4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42" xfId="0" applyFont="1" applyBorder="1"/>
    <xf numFmtId="0" fontId="3" fillId="0" borderId="43" xfId="0" applyFont="1" applyBorder="1"/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164" fontId="3" fillId="0" borderId="1" xfId="1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0" fontId="10" fillId="0" borderId="4" xfId="0" applyFont="1" applyBorder="1"/>
    <xf numFmtId="0" fontId="10" fillId="0" borderId="5" xfId="0" applyFont="1" applyBorder="1"/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4" fontId="3" fillId="0" borderId="43" xfId="1" applyNumberFormat="1" applyFont="1" applyBorder="1"/>
    <xf numFmtId="0" fontId="1" fillId="0" borderId="19" xfId="0" applyFont="1" applyBorder="1"/>
    <xf numFmtId="0" fontId="4" fillId="10" borderId="1" xfId="0" applyFont="1" applyFill="1" applyBorder="1"/>
    <xf numFmtId="167" fontId="3" fillId="0" borderId="1" xfId="0" applyNumberFormat="1" applyFont="1" applyBorder="1"/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2" borderId="32" xfId="0" applyFont="1" applyFill="1" applyBorder="1" applyAlignment="1" applyProtection="1">
      <alignment horizontal="center"/>
      <protection locked="0"/>
    </xf>
    <xf numFmtId="0" fontId="4" fillId="2" borderId="33" xfId="0" applyFont="1" applyFill="1" applyBorder="1" applyAlignment="1" applyProtection="1">
      <alignment horizontal="center"/>
      <protection locked="0"/>
    </xf>
    <xf numFmtId="0" fontId="4" fillId="2" borderId="48" xfId="0" applyFont="1" applyFill="1" applyBorder="1" applyAlignment="1" applyProtection="1">
      <alignment horizontal="center"/>
      <protection locked="0"/>
    </xf>
    <xf numFmtId="0" fontId="4" fillId="2" borderId="26" xfId="0" applyFont="1" applyFill="1" applyBorder="1" applyAlignment="1" applyProtection="1">
      <alignment horizontal="center"/>
      <protection locked="0"/>
    </xf>
    <xf numFmtId="0" fontId="4" fillId="2" borderId="28" xfId="0" applyFont="1" applyFill="1" applyBorder="1" applyAlignment="1" applyProtection="1">
      <alignment horizontal="center"/>
      <protection locked="0"/>
    </xf>
    <xf numFmtId="0" fontId="4" fillId="4" borderId="46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center"/>
      <protection locked="0"/>
    </xf>
    <xf numFmtId="0" fontId="4" fillId="2" borderId="13" xfId="0" applyFont="1" applyFill="1" applyBorder="1" applyAlignment="1" applyProtection="1">
      <alignment horizontal="center"/>
      <protection locked="0"/>
    </xf>
    <xf numFmtId="0" fontId="4" fillId="2" borderId="24" xfId="0" applyFont="1" applyFill="1" applyBorder="1" applyAlignment="1" applyProtection="1">
      <alignment horizontal="center"/>
      <protection locked="0"/>
    </xf>
    <xf numFmtId="0" fontId="4" fillId="2" borderId="25" xfId="0" applyFont="1" applyFill="1" applyBorder="1" applyAlignment="1" applyProtection="1">
      <alignment horizontal="center"/>
      <protection locked="0"/>
    </xf>
    <xf numFmtId="0" fontId="4" fillId="4" borderId="13" xfId="0" applyFont="1" applyFill="1" applyBorder="1" applyAlignment="1" applyProtection="1">
      <alignment horizontal="center"/>
      <protection locked="0"/>
    </xf>
    <xf numFmtId="0" fontId="4" fillId="4" borderId="24" xfId="0" applyFont="1" applyFill="1" applyBorder="1" applyAlignment="1" applyProtection="1">
      <alignment horizontal="center"/>
      <protection locked="0"/>
    </xf>
    <xf numFmtId="0" fontId="4" fillId="4" borderId="37" xfId="0" applyFont="1" applyFill="1" applyBorder="1" applyAlignment="1" applyProtection="1">
      <alignment horizontal="center"/>
      <protection locked="0"/>
    </xf>
    <xf numFmtId="0" fontId="4" fillId="4" borderId="25" xfId="0" applyFont="1" applyFill="1" applyBorder="1" applyAlignment="1" applyProtection="1">
      <alignment horizontal="center"/>
      <protection locked="0"/>
    </xf>
    <xf numFmtId="0" fontId="4" fillId="4" borderId="26" xfId="0" applyFont="1" applyFill="1" applyBorder="1" applyAlignment="1" applyProtection="1">
      <alignment horizontal="center"/>
      <protection locked="0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28" xfId="0" applyFont="1" applyFill="1" applyBorder="1" applyAlignment="1" applyProtection="1">
      <alignment horizontal="center"/>
      <protection locked="0"/>
    </xf>
    <xf numFmtId="164" fontId="6" fillId="0" borderId="30" xfId="1" applyNumberFormat="1" applyFont="1" applyBorder="1" applyAlignment="1" applyProtection="1"/>
    <xf numFmtId="164" fontId="6" fillId="0" borderId="41" xfId="1" applyNumberFormat="1" applyFont="1" applyBorder="1" applyAlignment="1" applyProtection="1"/>
    <xf numFmtId="0" fontId="6" fillId="0" borderId="30" xfId="0" applyFont="1" applyBorder="1" applyAlignment="1" applyProtection="1">
      <alignment horizontal="center"/>
    </xf>
    <xf numFmtId="0" fontId="6" fillId="0" borderId="41" xfId="0" applyFont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3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6" fillId="0" borderId="30" xfId="0" applyFont="1" applyBorder="1" applyAlignment="1" applyProtection="1">
      <alignment horizontal="center"/>
      <protection locked="0"/>
    </xf>
    <xf numFmtId="0" fontId="6" fillId="0" borderId="41" xfId="0" applyFont="1" applyBorder="1" applyAlignment="1" applyProtection="1">
      <alignment horizontal="center"/>
      <protection locked="0"/>
    </xf>
    <xf numFmtId="166" fontId="6" fillId="0" borderId="30" xfId="0" applyNumberFormat="1" applyFont="1" applyBorder="1" applyAlignment="1" applyProtection="1">
      <alignment horizontal="center"/>
    </xf>
    <xf numFmtId="166" fontId="6" fillId="0" borderId="41" xfId="0" applyNumberFormat="1" applyFont="1" applyBorder="1" applyAlignment="1" applyProtection="1">
      <alignment horizontal="center"/>
    </xf>
    <xf numFmtId="0" fontId="1" fillId="0" borderId="1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" fillId="0" borderId="23" xfId="0" applyFont="1" applyBorder="1" applyAlignment="1">
      <alignment horizontal="left"/>
    </xf>
    <xf numFmtId="0" fontId="1" fillId="0" borderId="20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15</xdr:row>
          <xdr:rowOff>0</xdr:rowOff>
        </xdr:from>
        <xdr:to>
          <xdr:col>3</xdr:col>
          <xdr:colOff>1555750</xdr:colOff>
          <xdr:row>16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Payrol Archival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127000</xdr:rowOff>
        </xdr:from>
        <xdr:to>
          <xdr:col>16</xdr:col>
          <xdr:colOff>95250</xdr:colOff>
          <xdr:row>10</xdr:row>
          <xdr:rowOff>152400</xdr:rowOff>
        </xdr:to>
        <xdr:sp macro="" textlink="">
          <xdr:nvSpPr>
            <xdr:cNvPr id="7169" name="btnExportPDF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6763C-A667-498C-9FC5-AE76386E7757}">
  <sheetPr codeName="Sheet4"/>
  <dimension ref="A1:D46"/>
  <sheetViews>
    <sheetView topLeftCell="B43" workbookViewId="0">
      <selection activeCell="C44" sqref="C44"/>
    </sheetView>
  </sheetViews>
  <sheetFormatPr defaultRowHeight="12" x14ac:dyDescent="0.35"/>
  <cols>
    <col min="1" max="1" width="1.6328125" style="4" bestFit="1" customWidth="1"/>
    <col min="2" max="2" width="22.453125" style="3" bestFit="1" customWidth="1"/>
    <col min="3" max="3" width="94.81640625" style="3" customWidth="1"/>
    <col min="4" max="4" width="50.453125" style="3" bestFit="1" customWidth="1"/>
    <col min="5" max="16384" width="8.7265625" style="3"/>
  </cols>
  <sheetData>
    <row r="1" spans="1:3" ht="12.5" thickBot="1" x14ac:dyDescent="0.4">
      <c r="A1" s="30" t="s">
        <v>26</v>
      </c>
      <c r="B1" s="31" t="s">
        <v>13</v>
      </c>
      <c r="C1" s="32" t="s">
        <v>14</v>
      </c>
    </row>
    <row r="2" spans="1:3" x14ac:dyDescent="0.35">
      <c r="A2" s="33">
        <v>1</v>
      </c>
      <c r="B2" s="34" t="s">
        <v>24</v>
      </c>
      <c r="C2" s="35" t="s">
        <v>25</v>
      </c>
    </row>
    <row r="3" spans="1:3" x14ac:dyDescent="0.35">
      <c r="A3" s="36">
        <v>2</v>
      </c>
      <c r="B3" s="37" t="s">
        <v>21</v>
      </c>
      <c r="C3" s="38" t="s">
        <v>15</v>
      </c>
    </row>
    <row r="4" spans="1:3" x14ac:dyDescent="0.35">
      <c r="A4" s="36">
        <v>3</v>
      </c>
      <c r="B4" s="37" t="s">
        <v>22</v>
      </c>
      <c r="C4" s="38" t="s">
        <v>15</v>
      </c>
    </row>
    <row r="5" spans="1:3" x14ac:dyDescent="0.35">
      <c r="A5" s="36">
        <v>4</v>
      </c>
      <c r="B5" s="37" t="s">
        <v>23</v>
      </c>
      <c r="C5" s="38" t="s">
        <v>16</v>
      </c>
    </row>
    <row r="6" spans="1:3" x14ac:dyDescent="0.35">
      <c r="A6" s="36">
        <v>5</v>
      </c>
      <c r="B6" s="37" t="s">
        <v>19</v>
      </c>
      <c r="C6" s="38" t="s">
        <v>17</v>
      </c>
    </row>
    <row r="7" spans="1:3" ht="12.5" thickBot="1" x14ac:dyDescent="0.4">
      <c r="A7" s="39">
        <v>6</v>
      </c>
      <c r="B7" s="40" t="s">
        <v>20</v>
      </c>
      <c r="C7" s="41" t="s">
        <v>18</v>
      </c>
    </row>
    <row r="9" spans="1:3" ht="12.5" thickBot="1" x14ac:dyDescent="0.4"/>
    <row r="10" spans="1:3" x14ac:dyDescent="0.35">
      <c r="B10" s="42" t="s">
        <v>35</v>
      </c>
      <c r="C10" s="43" t="s">
        <v>41</v>
      </c>
    </row>
    <row r="11" spans="1:3" x14ac:dyDescent="0.35">
      <c r="B11" s="44" t="s">
        <v>34</v>
      </c>
      <c r="C11" s="6" t="s">
        <v>80</v>
      </c>
    </row>
    <row r="12" spans="1:3" x14ac:dyDescent="0.35">
      <c r="B12" s="45" t="s">
        <v>36</v>
      </c>
      <c r="C12" s="38" t="s">
        <v>37</v>
      </c>
    </row>
    <row r="13" spans="1:3" x14ac:dyDescent="0.35">
      <c r="B13" s="45" t="s">
        <v>39</v>
      </c>
      <c r="C13" s="6" t="s">
        <v>40</v>
      </c>
    </row>
    <row r="14" spans="1:3" ht="24" x14ac:dyDescent="0.35">
      <c r="B14" s="45" t="s">
        <v>38</v>
      </c>
      <c r="C14" s="6" t="s">
        <v>42</v>
      </c>
    </row>
    <row r="15" spans="1:3" x14ac:dyDescent="0.35">
      <c r="B15" s="234" t="s">
        <v>64</v>
      </c>
      <c r="C15" s="235"/>
    </row>
    <row r="16" spans="1:3" x14ac:dyDescent="0.35">
      <c r="B16" s="45" t="s">
        <v>65</v>
      </c>
      <c r="C16" s="38" t="s">
        <v>66</v>
      </c>
    </row>
    <row r="17" spans="2:4" x14ac:dyDescent="0.35">
      <c r="B17" s="45"/>
      <c r="C17" s="38" t="s">
        <v>67</v>
      </c>
    </row>
    <row r="18" spans="2:4" x14ac:dyDescent="0.35">
      <c r="B18" s="45" t="s">
        <v>144</v>
      </c>
      <c r="C18" s="38" t="s">
        <v>139</v>
      </c>
    </row>
    <row r="19" spans="2:4" x14ac:dyDescent="0.35">
      <c r="B19" s="45"/>
      <c r="C19" s="38" t="s">
        <v>140</v>
      </c>
    </row>
    <row r="20" spans="2:4" x14ac:dyDescent="0.35">
      <c r="B20" s="45"/>
      <c r="C20" s="38" t="s">
        <v>141</v>
      </c>
    </row>
    <row r="21" spans="2:4" x14ac:dyDescent="0.35">
      <c r="B21" s="45"/>
      <c r="C21" s="38" t="s">
        <v>142</v>
      </c>
    </row>
    <row r="22" spans="2:4" x14ac:dyDescent="0.35">
      <c r="B22" s="45"/>
      <c r="C22" s="38" t="s">
        <v>143</v>
      </c>
    </row>
    <row r="23" spans="2:4" ht="12.5" thickBot="1" x14ac:dyDescent="0.4">
      <c r="B23" s="46" t="s">
        <v>7</v>
      </c>
      <c r="C23" s="47" t="s">
        <v>145</v>
      </c>
    </row>
    <row r="24" spans="2:4" ht="12.5" thickBot="1" x14ac:dyDescent="0.4"/>
    <row r="25" spans="2:4" ht="12.5" thickBot="1" x14ac:dyDescent="0.4">
      <c r="B25" s="236" t="s">
        <v>184</v>
      </c>
      <c r="C25" s="237"/>
      <c r="D25" s="238"/>
    </row>
    <row r="26" spans="2:4" ht="12.5" thickBot="1" x14ac:dyDescent="0.35">
      <c r="B26" s="49" t="s">
        <v>192</v>
      </c>
      <c r="C26" s="50" t="s">
        <v>193</v>
      </c>
      <c r="D26" s="51" t="s">
        <v>194</v>
      </c>
    </row>
    <row r="27" spans="2:4" x14ac:dyDescent="0.3">
      <c r="B27" s="14" t="s">
        <v>195</v>
      </c>
      <c r="C27" s="10" t="s">
        <v>196</v>
      </c>
      <c r="D27" s="11" t="s">
        <v>197</v>
      </c>
    </row>
    <row r="28" spans="2:4" x14ac:dyDescent="0.3">
      <c r="B28" s="12" t="s">
        <v>189</v>
      </c>
      <c r="C28" s="5" t="s">
        <v>198</v>
      </c>
      <c r="D28" s="7" t="s">
        <v>198</v>
      </c>
    </row>
    <row r="29" spans="2:4" x14ac:dyDescent="0.3">
      <c r="B29" s="12" t="s">
        <v>199</v>
      </c>
      <c r="C29" s="5" t="s">
        <v>200</v>
      </c>
      <c r="D29" s="7" t="s">
        <v>201</v>
      </c>
    </row>
    <row r="30" spans="2:4" x14ac:dyDescent="0.3">
      <c r="B30" s="12" t="s">
        <v>202</v>
      </c>
      <c r="C30" s="5" t="s">
        <v>203</v>
      </c>
      <c r="D30" s="7" t="s">
        <v>201</v>
      </c>
    </row>
    <row r="31" spans="2:4" x14ac:dyDescent="0.3">
      <c r="B31" s="12" t="s">
        <v>204</v>
      </c>
      <c r="C31" s="5" t="s">
        <v>205</v>
      </c>
      <c r="D31" s="7" t="s">
        <v>201</v>
      </c>
    </row>
    <row r="32" spans="2:4" x14ac:dyDescent="0.3">
      <c r="B32" s="12" t="s">
        <v>206</v>
      </c>
      <c r="C32" s="5" t="s">
        <v>207</v>
      </c>
      <c r="D32" s="7" t="s">
        <v>201</v>
      </c>
    </row>
    <row r="33" spans="2:4" x14ac:dyDescent="0.3">
      <c r="B33" s="12" t="s">
        <v>208</v>
      </c>
      <c r="C33" s="5" t="s">
        <v>209</v>
      </c>
      <c r="D33" s="7" t="s">
        <v>201</v>
      </c>
    </row>
    <row r="34" spans="2:4" x14ac:dyDescent="0.3">
      <c r="B34" s="12" t="s">
        <v>210</v>
      </c>
      <c r="C34" s="5" t="s">
        <v>198</v>
      </c>
      <c r="D34" s="7" t="s">
        <v>211</v>
      </c>
    </row>
    <row r="35" spans="2:4" x14ac:dyDescent="0.3">
      <c r="B35" s="12" t="s">
        <v>185</v>
      </c>
      <c r="C35" s="5" t="s">
        <v>212</v>
      </c>
      <c r="D35" s="7" t="s">
        <v>201</v>
      </c>
    </row>
    <row r="36" spans="2:4" x14ac:dyDescent="0.3">
      <c r="B36" s="12" t="s">
        <v>213</v>
      </c>
      <c r="C36" s="5" t="s">
        <v>211</v>
      </c>
      <c r="D36" s="7" t="s">
        <v>201</v>
      </c>
    </row>
    <row r="37" spans="2:4" x14ac:dyDescent="0.3">
      <c r="B37" s="12" t="s">
        <v>214</v>
      </c>
      <c r="C37" s="5" t="s">
        <v>215</v>
      </c>
      <c r="D37" s="7" t="s">
        <v>216</v>
      </c>
    </row>
    <row r="38" spans="2:4" ht="12.5" thickBot="1" x14ac:dyDescent="0.35">
      <c r="B38" s="13" t="s">
        <v>217</v>
      </c>
      <c r="C38" s="8" t="s">
        <v>218</v>
      </c>
      <c r="D38" s="9" t="s">
        <v>218</v>
      </c>
    </row>
    <row r="40" spans="2:4" ht="24" x14ac:dyDescent="0.35">
      <c r="B40" s="3" t="s">
        <v>189</v>
      </c>
      <c r="C40" s="48" t="s">
        <v>220</v>
      </c>
    </row>
    <row r="41" spans="2:4" ht="72" x14ac:dyDescent="0.35">
      <c r="B41" s="3" t="s">
        <v>222</v>
      </c>
      <c r="C41" s="48" t="s">
        <v>221</v>
      </c>
    </row>
    <row r="42" spans="2:4" ht="144" x14ac:dyDescent="0.35">
      <c r="B42" s="3" t="s">
        <v>224</v>
      </c>
      <c r="C42" s="48" t="s">
        <v>223</v>
      </c>
    </row>
    <row r="43" spans="2:4" ht="108" x14ac:dyDescent="0.35">
      <c r="B43" s="3" t="s">
        <v>186</v>
      </c>
      <c r="C43" s="48" t="s">
        <v>228</v>
      </c>
    </row>
    <row r="44" spans="2:4" ht="72" x14ac:dyDescent="0.35">
      <c r="B44" s="3" t="s">
        <v>187</v>
      </c>
      <c r="C44" s="48" t="s">
        <v>230</v>
      </c>
    </row>
    <row r="45" spans="2:4" ht="72" x14ac:dyDescent="0.35">
      <c r="B45" s="3" t="s">
        <v>188</v>
      </c>
      <c r="C45" s="48" t="s">
        <v>232</v>
      </c>
    </row>
    <row r="46" spans="2:4" ht="72" x14ac:dyDescent="0.35">
      <c r="B46" s="3" t="s">
        <v>236</v>
      </c>
      <c r="C46" s="48" t="s">
        <v>237</v>
      </c>
    </row>
  </sheetData>
  <mergeCells count="2">
    <mergeCell ref="B15:C15"/>
    <mergeCell ref="B25:D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9E38-081D-4EBC-BDAE-67055699DF36}">
  <sheetPr codeName="Sheet1"/>
  <dimension ref="A1:BY41"/>
  <sheetViews>
    <sheetView tabSelected="1" workbookViewId="0">
      <selection activeCell="B8" sqref="B8"/>
    </sheetView>
  </sheetViews>
  <sheetFormatPr defaultRowHeight="12" x14ac:dyDescent="0.3"/>
  <cols>
    <col min="1" max="1" width="2.453125" style="92" bestFit="1" customWidth="1"/>
    <col min="2" max="2" width="9.453125" style="53" bestFit="1" customWidth="1"/>
    <col min="3" max="3" width="14.26953125" style="53" bestFit="1" customWidth="1"/>
    <col min="4" max="4" width="23.08984375" style="53" bestFit="1" customWidth="1"/>
    <col min="5" max="5" width="19.1796875" style="53" bestFit="1" customWidth="1"/>
    <col min="6" max="6" width="9.1796875" style="53" bestFit="1" customWidth="1"/>
    <col min="7" max="7" width="9.54296875" style="53" bestFit="1" customWidth="1"/>
    <col min="8" max="8" width="24" style="53" bestFit="1" customWidth="1"/>
    <col min="9" max="9" width="9.6328125" style="53" bestFit="1" customWidth="1"/>
    <col min="10" max="10" width="9.90625" style="53" bestFit="1" customWidth="1"/>
    <col min="11" max="11" width="45.7265625" style="53" bestFit="1" customWidth="1"/>
    <col min="12" max="12" width="9" style="53" bestFit="1" customWidth="1"/>
    <col min="13" max="13" width="17.1796875" style="53" bestFit="1" customWidth="1"/>
    <col min="14" max="14" width="21.81640625" style="53" bestFit="1" customWidth="1"/>
    <col min="15" max="15" width="9.90625" style="53" bestFit="1" customWidth="1"/>
    <col min="16" max="16" width="9" style="53" bestFit="1" customWidth="1"/>
    <col min="17" max="17" width="14.26953125" style="53" bestFit="1" customWidth="1"/>
    <col min="18" max="18" width="16.26953125" style="53" bestFit="1" customWidth="1"/>
    <col min="19" max="19" width="8.26953125" style="53" bestFit="1" customWidth="1"/>
    <col min="20" max="20" width="8.6328125" style="53" bestFit="1" customWidth="1"/>
    <col min="21" max="21" width="5.7265625" style="53" bestFit="1" customWidth="1"/>
    <col min="22" max="22" width="6.26953125" style="53" bestFit="1" customWidth="1"/>
    <col min="23" max="23" width="8" style="53" bestFit="1" customWidth="1"/>
    <col min="24" max="24" width="7.1796875" style="116" bestFit="1" customWidth="1"/>
    <col min="25" max="25" width="7.36328125" style="116" bestFit="1" customWidth="1"/>
    <col min="26" max="26" width="7.1796875" style="116" bestFit="1" customWidth="1"/>
    <col min="27" max="27" width="6" style="116" bestFit="1" customWidth="1"/>
    <col min="28" max="28" width="7.90625" style="116" bestFit="1" customWidth="1"/>
    <col min="29" max="29" width="7.1796875" style="116" bestFit="1" customWidth="1"/>
    <col min="30" max="30" width="5.1796875" style="116" bestFit="1" customWidth="1"/>
    <col min="31" max="31" width="4" style="116" bestFit="1" customWidth="1"/>
    <col min="32" max="32" width="7.36328125" style="53" bestFit="1" customWidth="1"/>
    <col min="33" max="33" width="11.6328125" style="53" bestFit="1" customWidth="1"/>
    <col min="34" max="34" width="11.453125" style="53" bestFit="1" customWidth="1"/>
    <col min="35" max="35" width="9.453125" style="53" bestFit="1" customWidth="1"/>
    <col min="36" max="36" width="9.81640625" style="53" bestFit="1" customWidth="1"/>
    <col min="37" max="37" width="6" style="53" bestFit="1" customWidth="1"/>
    <col min="38" max="38" width="5.90625" style="53" bestFit="1" customWidth="1"/>
    <col min="39" max="39" width="8.54296875" style="53" bestFit="1" customWidth="1"/>
    <col min="40" max="41" width="7.453125" style="53" bestFit="1" customWidth="1"/>
    <col min="42" max="42" width="5.08984375" style="53" bestFit="1" customWidth="1"/>
    <col min="43" max="43" width="6.36328125" style="53" bestFit="1" customWidth="1"/>
    <col min="44" max="44" width="5.6328125" style="53" bestFit="1" customWidth="1"/>
    <col min="45" max="45" width="7.36328125" style="53" bestFit="1" customWidth="1"/>
    <col min="46" max="46" width="7.26953125" style="53" bestFit="1" customWidth="1"/>
    <col min="47" max="47" width="7.1796875" style="53" bestFit="1" customWidth="1"/>
    <col min="48" max="48" width="6.90625" style="53" bestFit="1" customWidth="1"/>
    <col min="49" max="49" width="11" style="53" bestFit="1" customWidth="1"/>
    <col min="50" max="50" width="6.7265625" style="53" bestFit="1" customWidth="1"/>
    <col min="51" max="51" width="19.26953125" style="53" bestFit="1" customWidth="1"/>
    <col min="52" max="52" width="8" style="53" bestFit="1" customWidth="1"/>
    <col min="53" max="53" width="8.1796875" style="53" bestFit="1" customWidth="1"/>
    <col min="54" max="55" width="7.90625" style="53" bestFit="1" customWidth="1"/>
    <col min="56" max="56" width="3.26953125" style="53" bestFit="1" customWidth="1"/>
    <col min="57" max="57" width="7.1796875" style="53" bestFit="1" customWidth="1"/>
    <col min="58" max="58" width="10" style="53" bestFit="1" customWidth="1"/>
    <col min="59" max="59" width="12.1796875" style="53" bestFit="1" customWidth="1"/>
    <col min="60" max="60" width="7.90625" style="53" bestFit="1" customWidth="1"/>
    <col min="61" max="61" width="8.54296875" style="53" bestFit="1" customWidth="1"/>
    <col min="62" max="62" width="8" style="53" bestFit="1" customWidth="1"/>
    <col min="63" max="63" width="5.90625" style="53" bestFit="1" customWidth="1"/>
    <col min="64" max="64" width="9" style="53" bestFit="1" customWidth="1"/>
    <col min="65" max="65" width="7.453125" style="53" bestFit="1" customWidth="1"/>
    <col min="66" max="66" width="8.08984375" style="53" bestFit="1" customWidth="1"/>
    <col min="67" max="67" width="6.54296875" style="53" bestFit="1" customWidth="1"/>
    <col min="68" max="68" width="8.54296875" style="53" bestFit="1" customWidth="1"/>
    <col min="69" max="69" width="6" style="53" bestFit="1" customWidth="1"/>
    <col min="70" max="70" width="8.36328125" style="53" bestFit="1" customWidth="1"/>
    <col min="71" max="71" width="12.26953125" style="53" bestFit="1" customWidth="1"/>
    <col min="72" max="72" width="6.08984375" style="53" bestFit="1" customWidth="1"/>
    <col min="73" max="74" width="7.1796875" style="53" bestFit="1" customWidth="1"/>
    <col min="75" max="75" width="6.08984375" style="53" bestFit="1" customWidth="1"/>
    <col min="76" max="76" width="4.1796875" style="53" bestFit="1" customWidth="1"/>
    <col min="77" max="77" width="12.7265625" style="53" bestFit="1" customWidth="1"/>
    <col min="78" max="16384" width="8.7265625" style="53"/>
  </cols>
  <sheetData>
    <row r="1" spans="1:77" ht="12.5" thickBot="1" x14ac:dyDescent="0.35">
      <c r="A1" s="246" t="s">
        <v>32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U1" s="247"/>
      <c r="V1" s="248"/>
      <c r="W1" s="239" t="s">
        <v>33</v>
      </c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9" t="s">
        <v>63</v>
      </c>
      <c r="AO1" s="250"/>
      <c r="AP1" s="250"/>
      <c r="AQ1" s="250"/>
      <c r="AR1" s="250"/>
      <c r="AS1" s="250"/>
      <c r="AT1" s="251"/>
      <c r="AU1" s="252"/>
      <c r="AV1" s="253" t="s">
        <v>71</v>
      </c>
      <c r="AW1" s="254"/>
      <c r="AX1" s="255"/>
      <c r="AY1" s="253" t="s">
        <v>184</v>
      </c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5"/>
      <c r="BP1" s="239" t="s">
        <v>226</v>
      </c>
      <c r="BQ1" s="240"/>
      <c r="BR1" s="241"/>
      <c r="BS1" s="242" t="s">
        <v>227</v>
      </c>
      <c r="BT1" s="243"/>
      <c r="BU1" s="242" t="s">
        <v>231</v>
      </c>
      <c r="BV1" s="243"/>
      <c r="BW1" s="244" t="s">
        <v>233</v>
      </c>
      <c r="BX1" s="245"/>
      <c r="BY1" s="96" t="s">
        <v>238</v>
      </c>
    </row>
    <row r="2" spans="1:77" s="62" customFormat="1" ht="36.5" thickBot="1" x14ac:dyDescent="0.4">
      <c r="A2" s="54" t="s">
        <v>26</v>
      </c>
      <c r="B2" s="55" t="s">
        <v>0</v>
      </c>
      <c r="C2" s="56" t="s">
        <v>27</v>
      </c>
      <c r="D2" s="56" t="s">
        <v>43</v>
      </c>
      <c r="E2" s="56" t="s">
        <v>99</v>
      </c>
      <c r="F2" s="56" t="s">
        <v>54</v>
      </c>
      <c r="G2" s="56" t="s">
        <v>55</v>
      </c>
      <c r="H2" s="56" t="s">
        <v>1</v>
      </c>
      <c r="I2" s="56" t="s">
        <v>56</v>
      </c>
      <c r="J2" s="56" t="s">
        <v>44</v>
      </c>
      <c r="K2" s="56" t="s">
        <v>45</v>
      </c>
      <c r="L2" s="56" t="s">
        <v>98</v>
      </c>
      <c r="M2" s="57" t="s">
        <v>47</v>
      </c>
      <c r="N2" s="57" t="s">
        <v>48</v>
      </c>
      <c r="O2" s="57" t="s">
        <v>49</v>
      </c>
      <c r="P2" s="57" t="s">
        <v>50</v>
      </c>
      <c r="Q2" s="57" t="s">
        <v>53</v>
      </c>
      <c r="R2" s="57" t="s">
        <v>51</v>
      </c>
      <c r="S2" s="56" t="s">
        <v>46</v>
      </c>
      <c r="T2" s="56" t="s">
        <v>68</v>
      </c>
      <c r="U2" s="57" t="s">
        <v>52</v>
      </c>
      <c r="V2" s="58" t="s">
        <v>60</v>
      </c>
      <c r="W2" s="59" t="s">
        <v>61</v>
      </c>
      <c r="X2" s="147" t="s">
        <v>57</v>
      </c>
      <c r="Y2" s="147" t="s">
        <v>10</v>
      </c>
      <c r="Z2" s="148" t="s">
        <v>9</v>
      </c>
      <c r="AA2" s="147" t="s">
        <v>5</v>
      </c>
      <c r="AB2" s="147" t="s">
        <v>137</v>
      </c>
      <c r="AC2" s="148" t="s">
        <v>28</v>
      </c>
      <c r="AD2" s="148" t="s">
        <v>29</v>
      </c>
      <c r="AE2" s="148" t="s">
        <v>10</v>
      </c>
      <c r="AF2" s="56" t="s">
        <v>72</v>
      </c>
      <c r="AG2" s="57" t="s">
        <v>73</v>
      </c>
      <c r="AH2" s="57" t="s">
        <v>74</v>
      </c>
      <c r="AI2" s="57" t="s">
        <v>75</v>
      </c>
      <c r="AJ2" s="57" t="s">
        <v>76</v>
      </c>
      <c r="AK2" s="56" t="s">
        <v>23</v>
      </c>
      <c r="AL2" s="56" t="s">
        <v>30</v>
      </c>
      <c r="AM2" s="58" t="s">
        <v>138</v>
      </c>
      <c r="AN2" s="59" t="s">
        <v>136</v>
      </c>
      <c r="AO2" s="57" t="s">
        <v>135</v>
      </c>
      <c r="AP2" s="56" t="s">
        <v>31</v>
      </c>
      <c r="AQ2" s="56" t="s">
        <v>38</v>
      </c>
      <c r="AR2" s="57" t="s">
        <v>58</v>
      </c>
      <c r="AS2" s="57" t="s">
        <v>59</v>
      </c>
      <c r="AT2" s="58" t="s">
        <v>256</v>
      </c>
      <c r="AU2" s="60" t="s">
        <v>62</v>
      </c>
      <c r="AV2" s="59" t="s">
        <v>70</v>
      </c>
      <c r="AW2" s="56" t="s">
        <v>133</v>
      </c>
      <c r="AX2" s="60" t="s">
        <v>8</v>
      </c>
      <c r="AY2" s="59" t="s">
        <v>255</v>
      </c>
      <c r="AZ2" s="57" t="s">
        <v>254</v>
      </c>
      <c r="BA2" s="57" t="s">
        <v>185</v>
      </c>
      <c r="BB2" s="57" t="s">
        <v>253</v>
      </c>
      <c r="BC2" s="57" t="s">
        <v>252</v>
      </c>
      <c r="BD2" s="56" t="s">
        <v>186</v>
      </c>
      <c r="BE2" s="56" t="s">
        <v>187</v>
      </c>
      <c r="BF2" s="56" t="s">
        <v>235</v>
      </c>
      <c r="BG2" s="56" t="s">
        <v>191</v>
      </c>
      <c r="BH2" s="57" t="s">
        <v>189</v>
      </c>
      <c r="BI2" s="57" t="s">
        <v>251</v>
      </c>
      <c r="BJ2" s="57" t="s">
        <v>250</v>
      </c>
      <c r="BK2" s="57" t="s">
        <v>190</v>
      </c>
      <c r="BL2" s="57" t="s">
        <v>249</v>
      </c>
      <c r="BM2" s="57" t="s">
        <v>248</v>
      </c>
      <c r="BN2" s="57" t="s">
        <v>247</v>
      </c>
      <c r="BO2" s="58" t="s">
        <v>246</v>
      </c>
      <c r="BP2" s="59" t="s">
        <v>245</v>
      </c>
      <c r="BQ2" s="57" t="s">
        <v>244</v>
      </c>
      <c r="BR2" s="52" t="s">
        <v>243</v>
      </c>
      <c r="BS2" s="57" t="s">
        <v>242</v>
      </c>
      <c r="BT2" s="52" t="s">
        <v>229</v>
      </c>
      <c r="BU2" s="57" t="s">
        <v>241</v>
      </c>
      <c r="BV2" s="52" t="s">
        <v>240</v>
      </c>
      <c r="BW2" s="57" t="s">
        <v>234</v>
      </c>
      <c r="BX2" s="52" t="s">
        <v>239</v>
      </c>
      <c r="BY2" s="61" t="s">
        <v>238</v>
      </c>
    </row>
    <row r="3" spans="1:77" x14ac:dyDescent="0.3">
      <c r="A3" s="63">
        <v>1</v>
      </c>
      <c r="B3" s="97" t="s">
        <v>81</v>
      </c>
      <c r="C3" s="98" t="s">
        <v>86</v>
      </c>
      <c r="D3" s="99" t="s">
        <v>87</v>
      </c>
      <c r="E3" s="99" t="s">
        <v>100</v>
      </c>
      <c r="F3" s="100">
        <v>45770</v>
      </c>
      <c r="G3" s="98"/>
      <c r="H3" s="101" t="s">
        <v>88</v>
      </c>
      <c r="I3" s="98" t="s">
        <v>89</v>
      </c>
      <c r="J3" s="101" t="s">
        <v>90</v>
      </c>
      <c r="K3" s="101" t="s">
        <v>91</v>
      </c>
      <c r="L3" s="101">
        <v>9878352311</v>
      </c>
      <c r="M3" s="98" t="s">
        <v>92</v>
      </c>
      <c r="N3" s="98" t="s">
        <v>93</v>
      </c>
      <c r="O3" s="98" t="s">
        <v>94</v>
      </c>
      <c r="P3" s="101">
        <v>9915291239</v>
      </c>
      <c r="Q3" s="98" t="s">
        <v>95</v>
      </c>
      <c r="R3" s="98"/>
      <c r="S3" s="98" t="s">
        <v>96</v>
      </c>
      <c r="T3" s="98" t="s">
        <v>69</v>
      </c>
      <c r="U3" s="149">
        <f ca="1">DAY(EOMONTH(TODAY(), 0))</f>
        <v>30</v>
      </c>
      <c r="V3" s="154">
        <f ca="1">IF(AND(F3&lt;=EOMONTH(TODAY(),0), OR(ISBLANK(G3), G3&gt;=DATE(YEAR(TODAY()), MONTH(TODAY()), 1))),
   MAX(1, MIN(EOMONTH(TODAY(),0), IF(ISBLANK(G3), EOMONTH(TODAY(),0), G3))
       - MAX(DATE(YEAR(TODAY()), MONTH(TODAY()),1), F3) + 1),
   0)</f>
        <v>30</v>
      </c>
      <c r="W3" s="126">
        <v>4670000</v>
      </c>
      <c r="X3" s="93">
        <f>W3/12</f>
        <v>389166.66666666669</v>
      </c>
      <c r="Y3" s="93" t="str">
        <f>IF(W3&lt;=252000,"ESI","NON-ESI")</f>
        <v>NON-ESI</v>
      </c>
      <c r="Z3" s="93">
        <f>X3*0.41</f>
        <v>159558.33333333334</v>
      </c>
      <c r="AA3" s="93">
        <f>IF(T3="NON-Metro", Z3*0.4, Z3*0.5)</f>
        <v>79779.166666666672</v>
      </c>
      <c r="AB3" s="93">
        <f>X3-Z3-AA3-AN3</f>
        <v>148579.66666666669</v>
      </c>
      <c r="AC3" s="93">
        <f ca="1">ROUND((Z3 + AA3 + AB3) * V3 / U3, 0)</f>
        <v>387917</v>
      </c>
      <c r="AD3" s="93">
        <f>IF(Z3&lt;=15000,Z3*12%,15000*12%)</f>
        <v>1800</v>
      </c>
      <c r="AE3" s="93">
        <f ca="1">IF(AC3&lt;=21000, AC3*0.0075, 0)</f>
        <v>0</v>
      </c>
      <c r="AF3" s="121">
        <v>80000</v>
      </c>
      <c r="AG3" s="121"/>
      <c r="AH3" s="121"/>
      <c r="AI3" s="121"/>
      <c r="AJ3" s="121"/>
      <c r="AK3" s="121">
        <f ca="1">BO3</f>
        <v>85959.931199999992</v>
      </c>
      <c r="AL3" s="64"/>
      <c r="AM3" s="173">
        <f ca="1">AC3-AD3-AE3-AK3-AL3</f>
        <v>300157.06880000001</v>
      </c>
      <c r="AN3" s="176">
        <f>IF(Z3 &lt;= 15000, Z3 * 8.33%, 15000 * 8.33%)</f>
        <v>1249.5</v>
      </c>
      <c r="AO3" s="93">
        <f>AD3 - AN3</f>
        <v>550.5</v>
      </c>
      <c r="AP3" s="93">
        <f ca="1">IF(AC3&lt;=21000, ROUND(AC3*0.0325, 0), 0)</f>
        <v>0</v>
      </c>
      <c r="AQ3" s="93">
        <f>ROUND((15/26 * Z3)/12, 0)</f>
        <v>7671</v>
      </c>
      <c r="AR3" s="121"/>
      <c r="AS3" s="124"/>
      <c r="AT3" s="124"/>
      <c r="AU3" s="173">
        <f ca="1">AC3+SUM(AN3:AQ3,AR3)</f>
        <v>397388</v>
      </c>
      <c r="AV3" s="179"/>
      <c r="AW3" s="124" t="s">
        <v>134</v>
      </c>
      <c r="AX3" s="125"/>
      <c r="AY3" s="185">
        <v>0</v>
      </c>
      <c r="AZ3" s="93">
        <f>(Z3 + AA3 + AB3)*12 + AY3 + AG3 + AH3+AR3+AT3</f>
        <v>4655006</v>
      </c>
      <c r="BA3" s="93">
        <f>IF(BK3="Old",
   MIN(AA3*12, AF3*12 - Z3*0.1*12, Z3*IF(T3="Metro", 0.5, 0.4)*12),
   0)</f>
        <v>765880.00000000012</v>
      </c>
      <c r="BB3" s="121">
        <v>150000</v>
      </c>
      <c r="BC3" s="186">
        <f>MIN(BP3,25000) + IF(BR3="Senior", MIN(BQ3,50000), MIN(BQ3,25000))</f>
        <v>50000</v>
      </c>
      <c r="BD3" s="149">
        <f>IF(AND(BK3="Old", BS3&lt;=8), BT3, 0)</f>
        <v>0</v>
      </c>
      <c r="BE3" s="93">
        <f>IF(AND(BU3&lt;&gt;"", ISNUMBER(BV3)), BU3 * BV3, 0)</f>
        <v>250000</v>
      </c>
      <c r="BF3" s="93">
        <f>IF(BX3="TTA", MIN(BW3, 10000), IF(BX3="TTB", MIN(BW3, 50000), 0))</f>
        <v>9000</v>
      </c>
      <c r="BG3" s="93">
        <f>MIN(BY3, 50000)</f>
        <v>0</v>
      </c>
      <c r="BH3" s="93">
        <v>50000</v>
      </c>
      <c r="BI3" s="93">
        <f t="shared" ref="BI3" si="0">SUM(BA3:BH3)</f>
        <v>1274880</v>
      </c>
      <c r="BJ3" s="93">
        <f t="shared" ref="BJ3" si="1">AZ3 - BI3</f>
        <v>3380126</v>
      </c>
      <c r="BK3" s="124" t="s">
        <v>219</v>
      </c>
      <c r="BL3" s="93">
        <f t="shared" ref="BL3:BL7" si="2">IF(BK3="Old",
    IF(BJ3&lt;=500000, 0,
        IF(BJ3&lt;=250000, 0,
            IF(BJ3&lt;=500000, (BJ3-250000)*0.05,
                IF(BJ3&lt;=1000000, 12500+(BJ3-500000)*0.2,
                    (112500+(BJ3-1000000)*0.3)))) * 1.04),
    IF(BJ3&lt;=700000, 0,
        IF(BJ3&lt;=300000, 0,
            IF(BJ3&lt;=600000, (BJ3-300000)*0.05,
                IF(BJ3&lt;=900000, 15000+(BJ3-600000)*0.1,
                    IF(BJ3&lt;=1200000, 45000+(BJ3-900000)*0.15,
                        IF(BJ3&lt;=1500000, 90000+(BJ3-1200000)*0.2,
                            150000+(BJ3-1500000)*0.3))))) * 1.04)
)</f>
        <v>859599.31199999992</v>
      </c>
      <c r="BM3" s="121"/>
      <c r="BN3" s="93">
        <f t="shared" ref="BN3" si="3">MAX(0, BL3 - BM3)</f>
        <v>859599.31199999992</v>
      </c>
      <c r="BO3" s="173">
        <f ca="1">IF(BL3&gt;0, BL3 / (IF(MONTH(TODAY())&gt;=4, 16 - MONTH(TODAY()), 4 - MONTH(TODAY()))), 0)</f>
        <v>85959.931199999992</v>
      </c>
      <c r="BP3" s="126">
        <v>50000</v>
      </c>
      <c r="BQ3" s="121">
        <v>50000</v>
      </c>
      <c r="BR3" s="180" t="s">
        <v>225</v>
      </c>
      <c r="BS3" s="135">
        <v>7</v>
      </c>
      <c r="BT3" s="136"/>
      <c r="BU3" s="126">
        <v>500000</v>
      </c>
      <c r="BV3" s="139">
        <v>0.5</v>
      </c>
      <c r="BW3" s="126">
        <v>9000</v>
      </c>
      <c r="BX3" s="124" t="s">
        <v>259</v>
      </c>
      <c r="BY3" s="180">
        <v>0</v>
      </c>
    </row>
    <row r="4" spans="1:77" x14ac:dyDescent="0.3">
      <c r="A4" s="65">
        <f>A3+1</f>
        <v>2</v>
      </c>
      <c r="B4" s="102" t="s">
        <v>82</v>
      </c>
      <c r="C4" s="103" t="s">
        <v>97</v>
      </c>
      <c r="D4" s="104" t="s">
        <v>101</v>
      </c>
      <c r="E4" s="104" t="s">
        <v>102</v>
      </c>
      <c r="F4" s="105">
        <v>45810</v>
      </c>
      <c r="G4" s="103"/>
      <c r="H4" s="106" t="s">
        <v>103</v>
      </c>
      <c r="I4" s="107" t="s">
        <v>104</v>
      </c>
      <c r="J4" s="106" t="s">
        <v>105</v>
      </c>
      <c r="K4" s="106" t="s">
        <v>106</v>
      </c>
      <c r="L4" s="106">
        <v>8307810348</v>
      </c>
      <c r="M4" s="103" t="s">
        <v>107</v>
      </c>
      <c r="N4" s="103" t="s">
        <v>108</v>
      </c>
      <c r="O4" s="103"/>
      <c r="P4" s="106">
        <v>9499160483</v>
      </c>
      <c r="Q4" s="103" t="s">
        <v>86</v>
      </c>
      <c r="R4" s="103" t="s">
        <v>109</v>
      </c>
      <c r="S4" s="103" t="s">
        <v>96</v>
      </c>
      <c r="T4" s="103" t="s">
        <v>69</v>
      </c>
      <c r="U4" s="169">
        <f ca="1">DAY(EOMONTH(TODAY(), 0))</f>
        <v>30</v>
      </c>
      <c r="V4" s="171">
        <f ca="1">IF(AND(F4&lt;=EOMONTH(TODAY(),0), OR(ISBLANK(G4), G4&gt;=DATE(YEAR(TODAY()), MONTH(TODAY()), 1))),
   MAX(1, MIN(EOMONTH(TODAY(),0), IF(ISBLANK(G4), EOMONTH(TODAY(),0), G4))
       - MAX(DATE(YEAR(TODAY()), MONTH(TODAY()),1), F4) + 1),
   0)</f>
        <v>29</v>
      </c>
      <c r="W4" s="129">
        <v>180000</v>
      </c>
      <c r="X4" s="94">
        <f>W4/12</f>
        <v>15000</v>
      </c>
      <c r="Y4" s="94" t="str">
        <f>IF(W4&lt;=252000,"ESI","NON-ESI")</f>
        <v>ESI</v>
      </c>
      <c r="Z4" s="94">
        <f>X4*0.41</f>
        <v>6150</v>
      </c>
      <c r="AA4" s="94">
        <f>IF(T4="NON-Metro", Z4*0.4, Z4*0.5)</f>
        <v>3075</v>
      </c>
      <c r="AB4" s="94">
        <f>X4-Z4-AA4-AN4</f>
        <v>5262.7049999999999</v>
      </c>
      <c r="AC4" s="94">
        <f ca="1">ROUND((Z4 + AA4 + AB4) * V4 / U4, 0)</f>
        <v>14005</v>
      </c>
      <c r="AD4" s="94">
        <f>IF(Z4&lt;=15000,Z4*12%,15000*12%)</f>
        <v>738</v>
      </c>
      <c r="AE4" s="94">
        <f ca="1">IF(AC4&lt;=21000, AC4*0.0075, 0)</f>
        <v>105.03749999999999</v>
      </c>
      <c r="AF4" s="122">
        <v>4000</v>
      </c>
      <c r="AG4" s="122"/>
      <c r="AH4" s="122"/>
      <c r="AI4" s="122"/>
      <c r="AJ4" s="122"/>
      <c r="AK4" s="122">
        <f ca="1">BO4</f>
        <v>0</v>
      </c>
      <c r="AL4" s="70"/>
      <c r="AM4" s="174">
        <f ca="1">AC4-AD4-AE4-AK4-AL4</f>
        <v>13161.9625</v>
      </c>
      <c r="AN4" s="177">
        <f>IF(Z4 &lt;= 15000, Z4 * 8.33%, 15000 * 8.33%)</f>
        <v>512.29499999999996</v>
      </c>
      <c r="AO4" s="94">
        <f>AD4 - AN4</f>
        <v>225.70500000000004</v>
      </c>
      <c r="AP4" s="94">
        <f ca="1">IF(AC4&lt;=21000, ROUND(AC4*0.0325, 0), 0)</f>
        <v>455</v>
      </c>
      <c r="AQ4" s="94">
        <f>ROUND((15/26 * Z4)/12, 0)</f>
        <v>296</v>
      </c>
      <c r="AR4" s="122"/>
      <c r="AS4" s="127"/>
      <c r="AT4" s="127"/>
      <c r="AU4" s="174">
        <f ca="1">AC4+SUM(AN4:AQ4,AR4)</f>
        <v>15494</v>
      </c>
      <c r="AV4" s="140"/>
      <c r="AW4" s="127"/>
      <c r="AX4" s="128"/>
      <c r="AY4" s="187">
        <v>0</v>
      </c>
      <c r="AZ4" s="94">
        <f>(Z4 + AA4 + AB4)*12 + AY4 + AG4 + AH4+AR4+AT4</f>
        <v>173852.46</v>
      </c>
      <c r="BA4" s="94">
        <f>IF(BK4="Old",
   MIN(AA4*12, AF4*12 - Z4*0.1*12, Z4*IF(T4="Metro", 0.5, 0.4)*12),
   0)</f>
        <v>29520</v>
      </c>
      <c r="BB4" s="122">
        <v>0</v>
      </c>
      <c r="BC4" s="184">
        <f>MIN(BP4,25000) + IF(BR4="Senior", MIN(BQ4,50000), MIN(BQ4,25000))</f>
        <v>0</v>
      </c>
      <c r="BD4" s="169">
        <f>IF(AND(BK4="Old", BS4&lt;=8), BT4, 0)</f>
        <v>0</v>
      </c>
      <c r="BE4" s="94">
        <f>IF(AND(BU4&lt;&gt;"", ISNUMBER(BV4)), BU4 * BV4, 0)</f>
        <v>0</v>
      </c>
      <c r="BF4" s="94">
        <f>IF(BX4="TTA", MIN(BW4, 10000), IF(BX4="TTB", MIN(BW4, 50000), 0))</f>
        <v>0</v>
      </c>
      <c r="BG4" s="94">
        <f>MIN(BY4, 50000)</f>
        <v>50000</v>
      </c>
      <c r="BH4" s="94">
        <v>50000</v>
      </c>
      <c r="BI4" s="94">
        <f t="shared" ref="BI4:BI7" si="4">SUM(BA4:BH4)</f>
        <v>129520</v>
      </c>
      <c r="BJ4" s="94">
        <f t="shared" ref="BJ4:BJ7" si="5">AZ4 - BI4</f>
        <v>44332.459999999992</v>
      </c>
      <c r="BK4" s="127" t="s">
        <v>219</v>
      </c>
      <c r="BL4" s="94">
        <f t="shared" si="2"/>
        <v>0</v>
      </c>
      <c r="BM4" s="122"/>
      <c r="BN4" s="94">
        <f t="shared" ref="BN4:BN7" si="6">MAX(0, BL4 - BM4)</f>
        <v>0</v>
      </c>
      <c r="BO4" s="174">
        <f ca="1">IF(BL4&gt;0, BL4 / (IF(MONTH(TODAY())&gt;=4, 16 - MONTH(TODAY()), 4 - MONTH(TODAY()))), 0)</f>
        <v>0</v>
      </c>
      <c r="BP4" s="129">
        <v>0</v>
      </c>
      <c r="BQ4" s="122">
        <v>0</v>
      </c>
      <c r="BR4" s="181" t="s">
        <v>225</v>
      </c>
      <c r="BS4" s="137"/>
      <c r="BT4" s="138"/>
      <c r="BU4" s="140"/>
      <c r="BV4" s="128"/>
      <c r="BW4" s="140"/>
      <c r="BX4" s="127"/>
      <c r="BY4" s="181"/>
    </row>
    <row r="5" spans="1:77" x14ac:dyDescent="0.3">
      <c r="A5" s="65">
        <f t="shared" ref="A5:A14" si="7">A4+1</f>
        <v>3</v>
      </c>
      <c r="B5" s="102" t="s">
        <v>83</v>
      </c>
      <c r="C5" s="106" t="s">
        <v>77</v>
      </c>
      <c r="D5" s="104" t="s">
        <v>126</v>
      </c>
      <c r="E5" s="104" t="s">
        <v>127</v>
      </c>
      <c r="F5" s="105">
        <v>45810</v>
      </c>
      <c r="G5" s="103"/>
      <c r="H5" s="106" t="s">
        <v>120</v>
      </c>
      <c r="I5" s="107" t="s">
        <v>104</v>
      </c>
      <c r="J5" s="106" t="s">
        <v>128</v>
      </c>
      <c r="K5" s="106" t="s">
        <v>129</v>
      </c>
      <c r="L5" s="106">
        <v>9417202378</v>
      </c>
      <c r="M5" s="103" t="s">
        <v>130</v>
      </c>
      <c r="N5" s="103" t="s">
        <v>131</v>
      </c>
      <c r="O5" s="103"/>
      <c r="P5" s="106">
        <v>9463171670</v>
      </c>
      <c r="Q5" s="103" t="s">
        <v>86</v>
      </c>
      <c r="R5" s="107" t="s">
        <v>132</v>
      </c>
      <c r="S5" s="103" t="s">
        <v>96</v>
      </c>
      <c r="T5" s="103" t="s">
        <v>69</v>
      </c>
      <c r="U5" s="169">
        <f ca="1">DAY(EOMONTH(TODAY(), 0))</f>
        <v>30</v>
      </c>
      <c r="V5" s="171">
        <f ca="1">IF(AND(F5&lt;=EOMONTH(TODAY(),0), OR(ISBLANK(G5), G5&gt;=DATE(YEAR(TODAY()), MONTH(TODAY()), 1))),
   MAX(1, MIN(EOMONTH(TODAY(),0), IF(ISBLANK(G5), EOMONTH(TODAY(),0), G5))
       - MAX(DATE(YEAR(TODAY()), MONTH(TODAY()),1), F5) + 1),
   0)</f>
        <v>29</v>
      </c>
      <c r="W5" s="129">
        <v>180000</v>
      </c>
      <c r="X5" s="94">
        <f>W5/12</f>
        <v>15000</v>
      </c>
      <c r="Y5" s="94" t="str">
        <f>IF(W5&lt;=252000,"ESI","NON-ESI")</f>
        <v>ESI</v>
      </c>
      <c r="Z5" s="94">
        <f>X5*0.41</f>
        <v>6150</v>
      </c>
      <c r="AA5" s="94">
        <f>IF(T5="NON-Metro", Z5*0.4, Z5*0.5)</f>
        <v>3075</v>
      </c>
      <c r="AB5" s="94">
        <f>X5-Z5-AA5-AN5</f>
        <v>5262.7049999999999</v>
      </c>
      <c r="AC5" s="94">
        <f ca="1">ROUND((Z5 + AA5 + AB5) * V5 / U5, 0)</f>
        <v>14005</v>
      </c>
      <c r="AD5" s="94">
        <f>IF(Z5&lt;=15000,Z5*12%,15000*12%)</f>
        <v>738</v>
      </c>
      <c r="AE5" s="94">
        <f ca="1">IF(AC5&lt;=21000, AC5*0.0075, 0)</f>
        <v>105.03749999999999</v>
      </c>
      <c r="AF5" s="122">
        <v>4000</v>
      </c>
      <c r="AG5" s="122"/>
      <c r="AH5" s="122"/>
      <c r="AI5" s="122"/>
      <c r="AJ5" s="122"/>
      <c r="AK5" s="122">
        <f ca="1">BO5</f>
        <v>0</v>
      </c>
      <c r="AL5" s="70"/>
      <c r="AM5" s="174">
        <f ca="1">AC5-AD5-AE5-AK5-AL5</f>
        <v>13161.9625</v>
      </c>
      <c r="AN5" s="177">
        <f>IF(Z5 &lt;= 15000, Z5 * 8.33%, 15000 * 8.33%)</f>
        <v>512.29499999999996</v>
      </c>
      <c r="AO5" s="94">
        <f>AD5 - AN5</f>
        <v>225.70500000000004</v>
      </c>
      <c r="AP5" s="94">
        <f ca="1">IF(AC5&lt;=21000, ROUND(AC5*0.0325, 0), 0)</f>
        <v>455</v>
      </c>
      <c r="AQ5" s="94">
        <f>ROUND((15/26 * Z5)/12, 0)</f>
        <v>296</v>
      </c>
      <c r="AR5" s="122">
        <v>6000</v>
      </c>
      <c r="AS5" s="133">
        <v>45812</v>
      </c>
      <c r="AT5" s="133"/>
      <c r="AU5" s="174">
        <f ca="1">AC5+SUM(AN5:AQ5,AR5)</f>
        <v>21494</v>
      </c>
      <c r="AV5" s="140"/>
      <c r="AW5" s="127"/>
      <c r="AX5" s="128"/>
      <c r="AY5" s="187">
        <v>0</v>
      </c>
      <c r="AZ5" s="94">
        <f>(Z5 + AA5 + AB5)*12 + AY5 + AG5 + AH5+AR5+AT5</f>
        <v>179852.46</v>
      </c>
      <c r="BA5" s="94">
        <f>IF(BK5="Old",
   MIN(AA5*12, AF5*12 - Z5*0.1*12, Z5*IF(T5="Metro", 0.5, 0.4)*12),
   0)</f>
        <v>29520</v>
      </c>
      <c r="BB5" s="122">
        <v>0</v>
      </c>
      <c r="BC5" s="184">
        <f>MIN(BP5,25000) + IF(BR5="Senior", MIN(BQ5,50000), MIN(BQ5,25000))</f>
        <v>0</v>
      </c>
      <c r="BD5" s="169">
        <f>IF(AND(BK5="Old", BS5&lt;=8), BT5, 0)</f>
        <v>0</v>
      </c>
      <c r="BE5" s="94">
        <f>IF(AND(BU5&lt;&gt;"", ISNUMBER(BV5)), BU5 * BV5, 0)</f>
        <v>0</v>
      </c>
      <c r="BF5" s="94">
        <f>IF(BX5="TTA", MIN(BW5, 10000), IF(BX5="TTB", MIN(BW5, 50000), 0))</f>
        <v>0</v>
      </c>
      <c r="BG5" s="94">
        <f>MIN(BY5, 50000)</f>
        <v>50000</v>
      </c>
      <c r="BH5" s="94">
        <v>50000</v>
      </c>
      <c r="BI5" s="94">
        <f t="shared" si="4"/>
        <v>129520</v>
      </c>
      <c r="BJ5" s="94">
        <f t="shared" si="5"/>
        <v>50332.459999999992</v>
      </c>
      <c r="BK5" s="127" t="s">
        <v>219</v>
      </c>
      <c r="BL5" s="94">
        <f t="shared" si="2"/>
        <v>0</v>
      </c>
      <c r="BM5" s="122"/>
      <c r="BN5" s="94">
        <f t="shared" si="6"/>
        <v>0</v>
      </c>
      <c r="BO5" s="174">
        <f ca="1">IF(BL5&gt;0, BL5 / (IF(MONTH(TODAY())&gt;=4, 16 - MONTH(TODAY()), 4 - MONTH(TODAY()))), 0)</f>
        <v>0</v>
      </c>
      <c r="BP5" s="129">
        <v>0</v>
      </c>
      <c r="BQ5" s="122">
        <v>0</v>
      </c>
      <c r="BR5" s="181" t="s">
        <v>225</v>
      </c>
      <c r="BS5" s="137"/>
      <c r="BT5" s="138"/>
      <c r="BU5" s="140"/>
      <c r="BV5" s="128"/>
      <c r="BW5" s="140"/>
      <c r="BX5" s="127"/>
      <c r="BY5" s="181"/>
    </row>
    <row r="6" spans="1:77" x14ac:dyDescent="0.3">
      <c r="A6" s="65">
        <f t="shared" si="7"/>
        <v>4</v>
      </c>
      <c r="B6" s="102" t="s">
        <v>84</v>
      </c>
      <c r="C6" s="106" t="s">
        <v>78</v>
      </c>
      <c r="D6" s="108" t="s">
        <v>118</v>
      </c>
      <c r="E6" s="104" t="s">
        <v>119</v>
      </c>
      <c r="F6" s="105">
        <v>45810</v>
      </c>
      <c r="G6" s="103"/>
      <c r="H6" s="106" t="s">
        <v>120</v>
      </c>
      <c r="I6" s="107" t="s">
        <v>104</v>
      </c>
      <c r="J6" s="106" t="s">
        <v>121</v>
      </c>
      <c r="K6" s="106" t="s">
        <v>122</v>
      </c>
      <c r="L6" s="106">
        <v>9205034903</v>
      </c>
      <c r="M6" s="103" t="s">
        <v>124</v>
      </c>
      <c r="N6" s="103" t="s">
        <v>123</v>
      </c>
      <c r="O6" s="103"/>
      <c r="P6" s="106">
        <v>7906004189</v>
      </c>
      <c r="Q6" s="103" t="s">
        <v>86</v>
      </c>
      <c r="R6" s="107" t="s">
        <v>125</v>
      </c>
      <c r="S6" s="103" t="s">
        <v>96</v>
      </c>
      <c r="T6" s="103" t="s">
        <v>69</v>
      </c>
      <c r="U6" s="169">
        <f ca="1">DAY(EOMONTH(TODAY(), 0))</f>
        <v>30</v>
      </c>
      <c r="V6" s="171">
        <f ca="1">IF(AND(F6&lt;=EOMONTH(TODAY(),0), OR(ISBLANK(G6), G6&gt;=DATE(YEAR(TODAY()), MONTH(TODAY()), 1))),
   MAX(1, MIN(EOMONTH(TODAY(),0), IF(ISBLANK(G6), EOMONTH(TODAY(),0), G6))
       - MAX(DATE(YEAR(TODAY()), MONTH(TODAY()),1), F6) + 1),
   0)</f>
        <v>29</v>
      </c>
      <c r="W6" s="129">
        <v>180000</v>
      </c>
      <c r="X6" s="94">
        <f t="shared" ref="X6:X7" si="8">W6/12</f>
        <v>15000</v>
      </c>
      <c r="Y6" s="94" t="str">
        <f>IF(W6&lt;=252000,"ESI","NON-ESI")</f>
        <v>ESI</v>
      </c>
      <c r="Z6" s="94">
        <f>X6*0.41</f>
        <v>6150</v>
      </c>
      <c r="AA6" s="94">
        <f>IF(T6="NON-Metro", Z6*0.4, Z6*0.5)</f>
        <v>3075</v>
      </c>
      <c r="AB6" s="94">
        <f>X6-Z6-AA6-AN6</f>
        <v>5262.7049999999999</v>
      </c>
      <c r="AC6" s="94">
        <f ca="1">ROUND((Z6 + AA6 + AB6) * V6 / U6, 0)</f>
        <v>14005</v>
      </c>
      <c r="AD6" s="94">
        <f>IF(Z6&lt;=15000,Z6*12%,15000*12%)</f>
        <v>738</v>
      </c>
      <c r="AE6" s="94">
        <f ca="1">IF(AC6&lt;=21000, AC6*0.0075, 0)</f>
        <v>105.03749999999999</v>
      </c>
      <c r="AF6" s="122">
        <v>4000</v>
      </c>
      <c r="AG6" s="122"/>
      <c r="AH6" s="122"/>
      <c r="AI6" s="122"/>
      <c r="AJ6" s="122"/>
      <c r="AK6" s="122">
        <f ca="1">BO6</f>
        <v>0</v>
      </c>
      <c r="AL6" s="70"/>
      <c r="AM6" s="174">
        <f ca="1">AC6-AD6-AE6-AK6-AL6</f>
        <v>13161.9625</v>
      </c>
      <c r="AN6" s="177">
        <f>IF(Z6 &lt;= 15000, Z6 * 8.33%, 15000 * 8.33%)</f>
        <v>512.29499999999996</v>
      </c>
      <c r="AO6" s="94">
        <f>AD6 - AN6</f>
        <v>225.70500000000004</v>
      </c>
      <c r="AP6" s="94">
        <f ca="1">IF(AC6&lt;=21000, ROUND(AC6*0.0325, 0), 0)</f>
        <v>455</v>
      </c>
      <c r="AQ6" s="94">
        <f>ROUND((15/26 * Z6)/12, 0)</f>
        <v>296</v>
      </c>
      <c r="AR6" s="122">
        <v>6000</v>
      </c>
      <c r="AS6" s="133">
        <v>45812</v>
      </c>
      <c r="AT6" s="133"/>
      <c r="AU6" s="174">
        <f ca="1">AC6+SUM(AN6:AQ6,AR6)</f>
        <v>21494</v>
      </c>
      <c r="AV6" s="140"/>
      <c r="AW6" s="127"/>
      <c r="AX6" s="128"/>
      <c r="AY6" s="187">
        <v>0</v>
      </c>
      <c r="AZ6" s="94">
        <f>(Z6 + AA6 + AB6)*12 + AY6 + AG6 + AH6+AR6+AT6</f>
        <v>179852.46</v>
      </c>
      <c r="BA6" s="94">
        <f>IF(BK6="Old",
   MIN(AA6*12, AF6*12 - Z6*0.1*12, Z6*IF(T6="Metro", 0.5, 0.4)*12),
   0)</f>
        <v>29520</v>
      </c>
      <c r="BB6" s="122">
        <v>0</v>
      </c>
      <c r="BC6" s="184">
        <f>MIN(BP6,25000) + IF(BR6="Senior", MIN(BQ6,50000), MIN(BQ6,25000))</f>
        <v>0</v>
      </c>
      <c r="BD6" s="169">
        <f>IF(AND(BK6="Old", BS6&lt;=8), BT6, 0)</f>
        <v>0</v>
      </c>
      <c r="BE6" s="94">
        <f>IF(AND(BU6&lt;&gt;"", ISNUMBER(BV6)), BU6 * BV6, 0)</f>
        <v>0</v>
      </c>
      <c r="BF6" s="94">
        <f>IF(BX6="TTA", MIN(BW6, 10000), IF(BX6="TTB", MIN(BW6, 50000), 0))</f>
        <v>0</v>
      </c>
      <c r="BG6" s="94">
        <f>MIN(BY6, 50000)</f>
        <v>50000</v>
      </c>
      <c r="BH6" s="94">
        <v>50000</v>
      </c>
      <c r="BI6" s="94">
        <f t="shared" si="4"/>
        <v>129520</v>
      </c>
      <c r="BJ6" s="94">
        <f t="shared" si="5"/>
        <v>50332.459999999992</v>
      </c>
      <c r="BK6" s="127" t="s">
        <v>219</v>
      </c>
      <c r="BL6" s="94">
        <f t="shared" si="2"/>
        <v>0</v>
      </c>
      <c r="BM6" s="122"/>
      <c r="BN6" s="94">
        <f t="shared" si="6"/>
        <v>0</v>
      </c>
      <c r="BO6" s="174">
        <f ca="1">IF(BL6&gt;0, BL6 / (IF(MONTH(TODAY())&gt;=4, 16 - MONTH(TODAY()), 4 - MONTH(TODAY()))), 0)</f>
        <v>0</v>
      </c>
      <c r="BP6" s="129">
        <v>0</v>
      </c>
      <c r="BQ6" s="122">
        <v>0</v>
      </c>
      <c r="BR6" s="181" t="s">
        <v>225</v>
      </c>
      <c r="BS6" s="137"/>
      <c r="BT6" s="138"/>
      <c r="BU6" s="140"/>
      <c r="BV6" s="128"/>
      <c r="BW6" s="140"/>
      <c r="BX6" s="127"/>
      <c r="BY6" s="181"/>
    </row>
    <row r="7" spans="1:77" ht="12.5" thickBot="1" x14ac:dyDescent="0.35">
      <c r="A7" s="65">
        <f t="shared" si="7"/>
        <v>5</v>
      </c>
      <c r="B7" s="109" t="s">
        <v>85</v>
      </c>
      <c r="C7" s="110" t="s">
        <v>79</v>
      </c>
      <c r="D7" s="111" t="s">
        <v>111</v>
      </c>
      <c r="E7" s="111" t="s">
        <v>110</v>
      </c>
      <c r="F7" s="112">
        <v>45810</v>
      </c>
      <c r="G7" s="113"/>
      <c r="H7" s="110" t="s">
        <v>112</v>
      </c>
      <c r="I7" s="114" t="s">
        <v>104</v>
      </c>
      <c r="J7" s="110" t="s">
        <v>113</v>
      </c>
      <c r="K7" s="110" t="s">
        <v>114</v>
      </c>
      <c r="L7" s="110">
        <v>6283867492</v>
      </c>
      <c r="M7" s="113" t="s">
        <v>116</v>
      </c>
      <c r="N7" s="113" t="s">
        <v>115</v>
      </c>
      <c r="O7" s="113"/>
      <c r="P7" s="110">
        <v>6207369769</v>
      </c>
      <c r="Q7" s="113" t="s">
        <v>86</v>
      </c>
      <c r="R7" s="114" t="s">
        <v>117</v>
      </c>
      <c r="S7" s="113" t="s">
        <v>96</v>
      </c>
      <c r="T7" s="113" t="s">
        <v>69</v>
      </c>
      <c r="U7" s="170">
        <f ca="1">DAY(EOMONTH(TODAY(), 0))</f>
        <v>30</v>
      </c>
      <c r="V7" s="172">
        <f ca="1">IF(AND(F7&lt;=EOMONTH(TODAY(),0), OR(ISBLANK(G7), G7&gt;=DATE(YEAR(TODAY()), MONTH(TODAY()), 1))),
   MAX(1, MIN(EOMONTH(TODAY(),0), IF(ISBLANK(G7), EOMONTH(TODAY(),0), G7))
       - MAX(DATE(YEAR(TODAY()), MONTH(TODAY()),1), F7) + 1),
   0)</f>
        <v>29</v>
      </c>
      <c r="W7" s="132">
        <v>300000</v>
      </c>
      <c r="X7" s="95">
        <f t="shared" si="8"/>
        <v>25000</v>
      </c>
      <c r="Y7" s="95" t="str">
        <f>IF(W7&lt;=252000,"ESI","NON-ESI")</f>
        <v>NON-ESI</v>
      </c>
      <c r="Z7" s="95">
        <f>X7*0.41</f>
        <v>10250</v>
      </c>
      <c r="AA7" s="95">
        <f>IF(T7="NON-Metro", Z7*0.4, Z7*0.5)</f>
        <v>5125</v>
      </c>
      <c r="AB7" s="95">
        <f>X7-Z7-AA7-AN7</f>
        <v>8771.1749999999993</v>
      </c>
      <c r="AC7" s="95">
        <f ca="1">ROUND((Z7 + AA7 + AB7) * V7 / U7, 0)</f>
        <v>23341</v>
      </c>
      <c r="AD7" s="95">
        <f>IF(Z7&lt;=15000,Z7*12%,15000*12%)</f>
        <v>1230</v>
      </c>
      <c r="AE7" s="95">
        <f ca="1">IF(AC7&lt;=21000, AC7*0.0075, 0)</f>
        <v>0</v>
      </c>
      <c r="AF7" s="123">
        <v>4000</v>
      </c>
      <c r="AG7" s="123"/>
      <c r="AH7" s="123"/>
      <c r="AI7" s="123"/>
      <c r="AJ7" s="123"/>
      <c r="AK7" s="123">
        <f ca="1">BO7</f>
        <v>0</v>
      </c>
      <c r="AL7" s="81"/>
      <c r="AM7" s="175">
        <f ca="1">AC7-AD7-AE7-AK7-AL7</f>
        <v>22111</v>
      </c>
      <c r="AN7" s="178">
        <f>IF(Z7 &lt;= 15000, Z7 * 8.33%, 15000 * 8.33%)</f>
        <v>853.82500000000005</v>
      </c>
      <c r="AO7" s="95">
        <f>AD7 - AN7</f>
        <v>376.17499999999995</v>
      </c>
      <c r="AP7" s="95">
        <f ca="1">IF(AC7&lt;=21000, ROUND(AC7*0.0325, 0), 0)</f>
        <v>0</v>
      </c>
      <c r="AQ7" s="95">
        <f>ROUND((15/26 * Z7)/12, 0)</f>
        <v>493</v>
      </c>
      <c r="AR7" s="123">
        <v>6000</v>
      </c>
      <c r="AS7" s="134">
        <v>45812</v>
      </c>
      <c r="AT7" s="134"/>
      <c r="AU7" s="175">
        <f ca="1">AC7+SUM(AN7:AQ7,AR7)</f>
        <v>31064</v>
      </c>
      <c r="AV7" s="182"/>
      <c r="AW7" s="130"/>
      <c r="AX7" s="131"/>
      <c r="AY7" s="188">
        <v>0</v>
      </c>
      <c r="AZ7" s="95">
        <f>(Z7 + AA7 + AB7)*12 + AY7 + AG7 + AH7+AR7+AT7</f>
        <v>295754.09999999998</v>
      </c>
      <c r="BA7" s="95">
        <f>IF(BK7="Old",
   MIN(AA7*12, AF7*12 - Z7*0.1*12, Z7*IF(T7="Metro", 0.5, 0.4)*12),
   0)</f>
        <v>35700</v>
      </c>
      <c r="BB7" s="123">
        <v>0</v>
      </c>
      <c r="BC7" s="189">
        <f>MIN(BP7,25000) + IF(BR7="Senior", MIN(BQ7,50000), MIN(BQ7,25000))</f>
        <v>0</v>
      </c>
      <c r="BD7" s="170">
        <f>IF(AND(BK7="Old", BS7&lt;=8), BT7, 0)</f>
        <v>0</v>
      </c>
      <c r="BE7" s="95">
        <f>IF(AND(BU7&lt;&gt;"", ISNUMBER(BV7)), BU7 * BV7, 0)</f>
        <v>0</v>
      </c>
      <c r="BF7" s="95">
        <f>IF(BX7="TTA", MIN(BW7, 10000), IF(BX7="TTB", MIN(BW7, 50000), 0))</f>
        <v>0</v>
      </c>
      <c r="BG7" s="95">
        <f>MIN(BY7, 50000)</f>
        <v>50000</v>
      </c>
      <c r="BH7" s="95">
        <v>50000</v>
      </c>
      <c r="BI7" s="95">
        <f t="shared" si="4"/>
        <v>135700</v>
      </c>
      <c r="BJ7" s="95">
        <f t="shared" si="5"/>
        <v>160054.09999999998</v>
      </c>
      <c r="BK7" s="130" t="s">
        <v>219</v>
      </c>
      <c r="BL7" s="95">
        <f t="shared" si="2"/>
        <v>0</v>
      </c>
      <c r="BM7" s="123"/>
      <c r="BN7" s="95">
        <f t="shared" si="6"/>
        <v>0</v>
      </c>
      <c r="BO7" s="175">
        <f ca="1">IF(BL7&gt;0, BL7 / (IF(MONTH(TODAY())&gt;=4, 16 - MONTH(TODAY()), 4 - MONTH(TODAY()))), 0)</f>
        <v>0</v>
      </c>
      <c r="BP7" s="132">
        <v>0</v>
      </c>
      <c r="BQ7" s="123">
        <v>0</v>
      </c>
      <c r="BR7" s="183" t="s">
        <v>225</v>
      </c>
      <c r="BS7" s="190"/>
      <c r="BT7" s="191"/>
      <c r="BU7" s="182"/>
      <c r="BV7" s="131"/>
      <c r="BW7" s="182"/>
      <c r="BX7" s="130"/>
      <c r="BY7" s="183"/>
    </row>
    <row r="8" spans="1:77" x14ac:dyDescent="0.3">
      <c r="A8" s="83">
        <f t="shared" si="7"/>
        <v>6</v>
      </c>
      <c r="B8" s="84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150"/>
      <c r="V8" s="155"/>
      <c r="W8" s="86"/>
      <c r="X8" s="117"/>
      <c r="Y8" s="117"/>
      <c r="Z8" s="117"/>
      <c r="AA8" s="117"/>
      <c r="AB8" s="117"/>
      <c r="AC8" s="117"/>
      <c r="AD8" s="117"/>
      <c r="AE8" s="117"/>
      <c r="AF8" s="73"/>
      <c r="AG8" s="73"/>
      <c r="AH8" s="73"/>
      <c r="AI8" s="73"/>
      <c r="AJ8" s="73"/>
      <c r="AK8" s="73"/>
      <c r="AL8" s="73"/>
      <c r="AM8" s="158"/>
      <c r="AN8" s="161"/>
      <c r="AO8" s="164">
        <f>IF(Z8&lt;=15000,Z8*1%,150)</f>
        <v>0</v>
      </c>
      <c r="AP8" s="164">
        <f t="shared" ref="AP8" si="9">AE8/0.75*3.25</f>
        <v>0</v>
      </c>
      <c r="AQ8" s="164">
        <f t="shared" ref="AQ8:AQ10" si="10">Z8*4.81%</f>
        <v>0</v>
      </c>
      <c r="AR8" s="72"/>
      <c r="AS8" s="72"/>
      <c r="AT8" s="85"/>
      <c r="AU8" s="155"/>
      <c r="AV8" s="87"/>
      <c r="AW8" s="72"/>
      <c r="AX8" s="85"/>
      <c r="AY8" s="87"/>
      <c r="AZ8" s="150"/>
      <c r="BA8" s="150"/>
      <c r="BB8" s="72"/>
      <c r="BC8" s="150"/>
      <c r="BD8" s="150"/>
      <c r="BE8" s="150"/>
      <c r="BF8" s="150"/>
      <c r="BG8" s="150"/>
      <c r="BH8" s="150"/>
      <c r="BI8" s="150"/>
      <c r="BJ8" s="150"/>
      <c r="BK8" s="72"/>
      <c r="BL8" s="150"/>
      <c r="BM8" s="72"/>
      <c r="BN8" s="150"/>
      <c r="BO8" s="150"/>
      <c r="BP8" s="72"/>
      <c r="BQ8" s="72"/>
      <c r="BR8" s="72"/>
      <c r="BS8" s="72"/>
      <c r="BT8" s="72"/>
      <c r="BU8" s="72"/>
      <c r="BV8" s="72"/>
      <c r="BW8" s="72"/>
      <c r="BX8" s="72"/>
      <c r="BY8" s="72"/>
    </row>
    <row r="9" spans="1:77" x14ac:dyDescent="0.3">
      <c r="A9" s="83">
        <f t="shared" si="7"/>
        <v>7</v>
      </c>
      <c r="B9" s="71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72"/>
      <c r="U9" s="151"/>
      <c r="V9" s="156"/>
      <c r="W9" s="69"/>
      <c r="X9" s="118"/>
      <c r="Y9" s="118"/>
      <c r="Z9" s="118"/>
      <c r="AA9" s="118"/>
      <c r="AB9" s="118"/>
      <c r="AC9" s="118"/>
      <c r="AD9" s="118"/>
      <c r="AE9" s="118"/>
      <c r="AF9" s="70"/>
      <c r="AG9" s="70"/>
      <c r="AH9" s="70"/>
      <c r="AI9" s="70"/>
      <c r="AJ9" s="70"/>
      <c r="AK9" s="70"/>
      <c r="AL9" s="70"/>
      <c r="AM9" s="159"/>
      <c r="AN9" s="162"/>
      <c r="AO9" s="165"/>
      <c r="AP9" s="165"/>
      <c r="AQ9" s="165">
        <f t="shared" si="10"/>
        <v>0</v>
      </c>
      <c r="AR9" s="67"/>
      <c r="AS9" s="67"/>
      <c r="AT9" s="68"/>
      <c r="AU9" s="156"/>
      <c r="AV9" s="66"/>
      <c r="AW9" s="67"/>
      <c r="AX9" s="68"/>
      <c r="AY9" s="66"/>
      <c r="AZ9" s="151"/>
      <c r="BA9" s="151"/>
      <c r="BB9" s="67"/>
      <c r="BC9" s="151"/>
      <c r="BD9" s="151"/>
      <c r="BE9" s="151"/>
      <c r="BF9" s="151"/>
      <c r="BG9" s="151"/>
      <c r="BH9" s="151"/>
      <c r="BI9" s="151"/>
      <c r="BJ9" s="151"/>
      <c r="BK9" s="67"/>
      <c r="BL9" s="151"/>
      <c r="BM9" s="67"/>
      <c r="BN9" s="151"/>
      <c r="BO9" s="156"/>
      <c r="BP9" s="66"/>
      <c r="BQ9" s="67"/>
      <c r="BR9" s="68"/>
      <c r="BS9" s="74"/>
      <c r="BT9" s="75"/>
      <c r="BU9" s="66"/>
      <c r="BV9" s="68"/>
      <c r="BW9" s="66"/>
      <c r="BX9" s="68"/>
      <c r="BY9" s="76"/>
    </row>
    <row r="10" spans="1:77" x14ac:dyDescent="0.3">
      <c r="A10" s="83">
        <f t="shared" si="7"/>
        <v>8</v>
      </c>
      <c r="B10" s="71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72"/>
      <c r="U10" s="151"/>
      <c r="V10" s="156"/>
      <c r="W10" s="69"/>
      <c r="X10" s="118"/>
      <c r="Y10" s="118"/>
      <c r="Z10" s="118"/>
      <c r="AA10" s="118"/>
      <c r="AB10" s="118"/>
      <c r="AC10" s="118"/>
      <c r="AD10" s="118"/>
      <c r="AE10" s="118"/>
      <c r="AF10" s="70"/>
      <c r="AG10" s="70"/>
      <c r="AH10" s="70"/>
      <c r="AI10" s="70"/>
      <c r="AJ10" s="70"/>
      <c r="AK10" s="70"/>
      <c r="AL10" s="70"/>
      <c r="AM10" s="159"/>
      <c r="AN10" s="162"/>
      <c r="AO10" s="165"/>
      <c r="AP10" s="165"/>
      <c r="AQ10" s="165">
        <f t="shared" si="10"/>
        <v>0</v>
      </c>
      <c r="AR10" s="67"/>
      <c r="AS10" s="67"/>
      <c r="AT10" s="68"/>
      <c r="AU10" s="156"/>
      <c r="AV10" s="66"/>
      <c r="AW10" s="67"/>
      <c r="AX10" s="68"/>
      <c r="AY10" s="66"/>
      <c r="AZ10" s="151"/>
      <c r="BA10" s="151"/>
      <c r="BB10" s="67"/>
      <c r="BC10" s="151"/>
      <c r="BD10" s="151"/>
      <c r="BE10" s="151"/>
      <c r="BF10" s="151"/>
      <c r="BG10" s="151"/>
      <c r="BH10" s="151"/>
      <c r="BI10" s="151"/>
      <c r="BJ10" s="151"/>
      <c r="BK10" s="67"/>
      <c r="BL10" s="151"/>
      <c r="BM10" s="67"/>
      <c r="BN10" s="151"/>
      <c r="BO10" s="156"/>
      <c r="BP10" s="66"/>
      <c r="BQ10" s="67"/>
      <c r="BR10" s="68"/>
      <c r="BS10" s="74"/>
      <c r="BT10" s="75"/>
      <c r="BU10" s="66"/>
      <c r="BV10" s="68"/>
      <c r="BW10" s="66"/>
      <c r="BX10" s="68"/>
      <c r="BY10" s="76"/>
    </row>
    <row r="11" spans="1:77" x14ac:dyDescent="0.3">
      <c r="A11" s="83">
        <f t="shared" si="7"/>
        <v>9</v>
      </c>
      <c r="B11" s="71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72"/>
      <c r="U11" s="151"/>
      <c r="V11" s="156"/>
      <c r="W11" s="69"/>
      <c r="X11" s="118"/>
      <c r="Y11" s="118"/>
      <c r="Z11" s="118"/>
      <c r="AA11" s="118"/>
      <c r="AB11" s="118"/>
      <c r="AC11" s="118"/>
      <c r="AD11" s="118"/>
      <c r="AE11" s="118"/>
      <c r="AF11" s="70"/>
      <c r="AG11" s="70"/>
      <c r="AH11" s="70"/>
      <c r="AI11" s="70"/>
      <c r="AJ11" s="70"/>
      <c r="AK11" s="70"/>
      <c r="AL11" s="70"/>
      <c r="AM11" s="159"/>
      <c r="AN11" s="162"/>
      <c r="AO11" s="165"/>
      <c r="AP11" s="165"/>
      <c r="AQ11" s="165"/>
      <c r="AR11" s="67"/>
      <c r="AS11" s="67"/>
      <c r="AT11" s="68"/>
      <c r="AU11" s="156"/>
      <c r="AV11" s="66"/>
      <c r="AW11" s="67"/>
      <c r="AX11" s="68"/>
      <c r="AY11" s="66"/>
      <c r="AZ11" s="151"/>
      <c r="BA11" s="151"/>
      <c r="BB11" s="67"/>
      <c r="BC11" s="151"/>
      <c r="BD11" s="151"/>
      <c r="BE11" s="151"/>
      <c r="BF11" s="151"/>
      <c r="BG11" s="151"/>
      <c r="BH11" s="151"/>
      <c r="BI11" s="151"/>
      <c r="BJ11" s="151"/>
      <c r="BK11" s="67"/>
      <c r="BL11" s="151"/>
      <c r="BM11" s="67"/>
      <c r="BN11" s="151"/>
      <c r="BO11" s="156"/>
      <c r="BP11" s="66"/>
      <c r="BQ11" s="67"/>
      <c r="BR11" s="68"/>
      <c r="BS11" s="74"/>
      <c r="BT11" s="75"/>
      <c r="BU11" s="66"/>
      <c r="BV11" s="68"/>
      <c r="BW11" s="66"/>
      <c r="BX11" s="68"/>
      <c r="BY11" s="76"/>
    </row>
    <row r="12" spans="1:77" x14ac:dyDescent="0.3">
      <c r="A12" s="83">
        <f t="shared" si="7"/>
        <v>10</v>
      </c>
      <c r="B12" s="71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72"/>
      <c r="U12" s="151"/>
      <c r="V12" s="156"/>
      <c r="W12" s="69"/>
      <c r="X12" s="118"/>
      <c r="Y12" s="118"/>
      <c r="Z12" s="118"/>
      <c r="AA12" s="118"/>
      <c r="AB12" s="118"/>
      <c r="AC12" s="118"/>
      <c r="AD12" s="118"/>
      <c r="AE12" s="118"/>
      <c r="AF12" s="70"/>
      <c r="AG12" s="70"/>
      <c r="AH12" s="70"/>
      <c r="AI12" s="70"/>
      <c r="AJ12" s="70"/>
      <c r="AK12" s="70"/>
      <c r="AL12" s="70"/>
      <c r="AM12" s="159"/>
      <c r="AN12" s="162"/>
      <c r="AO12" s="165"/>
      <c r="AP12" s="165"/>
      <c r="AQ12" s="165"/>
      <c r="AR12" s="67"/>
      <c r="AS12" s="67"/>
      <c r="AT12" s="68"/>
      <c r="AU12" s="156"/>
      <c r="AV12" s="66"/>
      <c r="AW12" s="67"/>
      <c r="AX12" s="68"/>
      <c r="AY12" s="66"/>
      <c r="AZ12" s="151"/>
      <c r="BA12" s="151"/>
      <c r="BB12" s="67"/>
      <c r="BC12" s="151"/>
      <c r="BD12" s="151"/>
      <c r="BE12" s="151"/>
      <c r="BF12" s="151"/>
      <c r="BG12" s="151"/>
      <c r="BH12" s="151"/>
      <c r="BI12" s="151"/>
      <c r="BJ12" s="151"/>
      <c r="BK12" s="67"/>
      <c r="BL12" s="151"/>
      <c r="BM12" s="67"/>
      <c r="BN12" s="151"/>
      <c r="BO12" s="156"/>
      <c r="BP12" s="66"/>
      <c r="BQ12" s="67"/>
      <c r="BR12" s="68"/>
      <c r="BS12" s="74"/>
      <c r="BT12" s="75"/>
      <c r="BU12" s="66"/>
      <c r="BV12" s="68"/>
      <c r="BW12" s="66"/>
      <c r="BX12" s="68"/>
      <c r="BY12" s="76"/>
    </row>
    <row r="13" spans="1:77" x14ac:dyDescent="0.3">
      <c r="A13" s="83">
        <f t="shared" si="7"/>
        <v>11</v>
      </c>
      <c r="B13" s="71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72"/>
      <c r="U13" s="151"/>
      <c r="V13" s="156"/>
      <c r="W13" s="69"/>
      <c r="X13" s="118"/>
      <c r="Y13" s="118"/>
      <c r="Z13" s="118"/>
      <c r="AA13" s="118"/>
      <c r="AB13" s="118"/>
      <c r="AC13" s="118"/>
      <c r="AD13" s="118"/>
      <c r="AE13" s="118"/>
      <c r="AF13" s="70"/>
      <c r="AG13" s="70"/>
      <c r="AH13" s="70"/>
      <c r="AI13" s="70"/>
      <c r="AJ13" s="70"/>
      <c r="AK13" s="70"/>
      <c r="AL13" s="70"/>
      <c r="AM13" s="159"/>
      <c r="AN13" s="162"/>
      <c r="AO13" s="165"/>
      <c r="AP13" s="165"/>
      <c r="AQ13" s="165"/>
      <c r="AR13" s="67"/>
      <c r="AS13" s="67"/>
      <c r="AT13" s="68"/>
      <c r="AU13" s="156"/>
      <c r="AV13" s="66"/>
      <c r="AW13" s="67"/>
      <c r="AX13" s="68"/>
      <c r="AY13" s="66"/>
      <c r="AZ13" s="151"/>
      <c r="BA13" s="151"/>
      <c r="BB13" s="67"/>
      <c r="BC13" s="151"/>
      <c r="BD13" s="151"/>
      <c r="BE13" s="151"/>
      <c r="BF13" s="151"/>
      <c r="BG13" s="151"/>
      <c r="BH13" s="151"/>
      <c r="BI13" s="151"/>
      <c r="BJ13" s="151"/>
      <c r="BK13" s="67"/>
      <c r="BL13" s="151"/>
      <c r="BM13" s="67"/>
      <c r="BN13" s="168"/>
      <c r="BO13" s="156"/>
      <c r="BP13" s="66"/>
      <c r="BQ13" s="67"/>
      <c r="BR13" s="68"/>
      <c r="BS13" s="74"/>
      <c r="BT13" s="75"/>
      <c r="BU13" s="66"/>
      <c r="BV13" s="68"/>
      <c r="BW13" s="66"/>
      <c r="BX13" s="68"/>
      <c r="BY13" s="76"/>
    </row>
    <row r="14" spans="1:77" ht="12.5" thickBot="1" x14ac:dyDescent="0.35">
      <c r="A14" s="88">
        <f t="shared" si="7"/>
        <v>12</v>
      </c>
      <c r="B14" s="82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2"/>
      <c r="U14" s="152"/>
      <c r="V14" s="157"/>
      <c r="W14" s="80"/>
      <c r="X14" s="119"/>
      <c r="Y14" s="119"/>
      <c r="Z14" s="119"/>
      <c r="AA14" s="119"/>
      <c r="AB14" s="119"/>
      <c r="AC14" s="119"/>
      <c r="AD14" s="119"/>
      <c r="AE14" s="119"/>
      <c r="AF14" s="81"/>
      <c r="AG14" s="81"/>
      <c r="AH14" s="81"/>
      <c r="AI14" s="81"/>
      <c r="AJ14" s="81"/>
      <c r="AK14" s="81"/>
      <c r="AL14" s="81"/>
      <c r="AM14" s="160"/>
      <c r="AN14" s="163"/>
      <c r="AO14" s="166"/>
      <c r="AP14" s="166"/>
      <c r="AQ14" s="166"/>
      <c r="AR14" s="78"/>
      <c r="AS14" s="78"/>
      <c r="AT14" s="79"/>
      <c r="AU14" s="157"/>
      <c r="AV14" s="77"/>
      <c r="AW14" s="78"/>
      <c r="AX14" s="79"/>
      <c r="AY14" s="77"/>
      <c r="AZ14" s="152"/>
      <c r="BA14" s="152"/>
      <c r="BB14" s="78"/>
      <c r="BC14" s="152"/>
      <c r="BD14" s="152"/>
      <c r="BE14" s="152"/>
      <c r="BF14" s="152"/>
      <c r="BG14" s="152"/>
      <c r="BH14" s="152"/>
      <c r="BI14" s="152"/>
      <c r="BJ14" s="152"/>
      <c r="BK14" s="78"/>
      <c r="BL14" s="152"/>
      <c r="BM14" s="78"/>
      <c r="BN14" s="152"/>
      <c r="BO14" s="157"/>
      <c r="BP14" s="77"/>
      <c r="BQ14" s="78"/>
      <c r="BR14" s="79"/>
      <c r="BS14" s="89"/>
      <c r="BT14" s="90"/>
      <c r="BU14" s="77"/>
      <c r="BV14" s="79"/>
      <c r="BW14" s="77"/>
      <c r="BX14" s="79"/>
      <c r="BY14" s="91"/>
    </row>
    <row r="15" spans="1:77" x14ac:dyDescent="0.3">
      <c r="U15" s="153"/>
      <c r="V15" s="153"/>
      <c r="AM15" s="153"/>
      <c r="AN15" s="153"/>
      <c r="AO15" s="153"/>
      <c r="AP15" s="153"/>
      <c r="AQ15" s="153"/>
      <c r="AU15" s="153"/>
      <c r="AZ15" s="153"/>
      <c r="BA15" s="153"/>
      <c r="BC15" s="153"/>
      <c r="BD15" s="153"/>
      <c r="BE15" s="153"/>
      <c r="BF15" s="153"/>
      <c r="BG15" s="153"/>
      <c r="BH15" s="153"/>
      <c r="BI15" s="153"/>
      <c r="BJ15" s="153"/>
      <c r="BL15" s="153"/>
      <c r="BN15" s="153"/>
      <c r="BO15" s="153"/>
    </row>
    <row r="16" spans="1:77" x14ac:dyDescent="0.3">
      <c r="U16" s="153"/>
      <c r="V16" s="153"/>
      <c r="AM16" s="153"/>
      <c r="AN16" s="153"/>
      <c r="AO16" s="153"/>
      <c r="AP16" s="153"/>
      <c r="AQ16" s="153"/>
      <c r="AU16" s="153"/>
      <c r="AZ16" s="153"/>
      <c r="BA16" s="153"/>
      <c r="BC16" s="153"/>
      <c r="BD16" s="153"/>
      <c r="BE16" s="153"/>
      <c r="BF16" s="153"/>
      <c r="BG16" s="153"/>
      <c r="BH16" s="153"/>
      <c r="BI16" s="153"/>
      <c r="BJ16" s="153"/>
      <c r="BL16" s="153"/>
      <c r="BN16" s="153"/>
      <c r="BO16" s="167"/>
    </row>
    <row r="17" spans="1:67" x14ac:dyDescent="0.3">
      <c r="A17" s="115"/>
      <c r="B17" s="53" t="s">
        <v>257</v>
      </c>
      <c r="U17" s="153"/>
      <c r="V17" s="153"/>
      <c r="AF17" s="141"/>
      <c r="AM17" s="153"/>
      <c r="AN17" s="153"/>
      <c r="AO17" s="153"/>
      <c r="AP17" s="153"/>
      <c r="AQ17" s="153"/>
      <c r="AU17" s="153"/>
      <c r="AZ17" s="153"/>
      <c r="BA17" s="153"/>
      <c r="BC17" s="153"/>
      <c r="BD17" s="153"/>
      <c r="BE17" s="153"/>
      <c r="BF17" s="153"/>
      <c r="BG17" s="153"/>
      <c r="BH17" s="153"/>
      <c r="BI17" s="153"/>
      <c r="BJ17" s="153"/>
      <c r="BL17" s="153"/>
      <c r="BN17" s="153"/>
      <c r="BO17" s="153"/>
    </row>
    <row r="18" spans="1:67" x14ac:dyDescent="0.3">
      <c r="A18" s="120"/>
      <c r="B18" s="53" t="s">
        <v>258</v>
      </c>
      <c r="C18" s="53" t="s">
        <v>265</v>
      </c>
      <c r="U18" s="153"/>
      <c r="V18" s="153"/>
      <c r="AM18" s="153"/>
      <c r="AN18" s="153"/>
      <c r="AO18" s="153"/>
      <c r="AP18" s="153"/>
      <c r="AQ18" s="153"/>
      <c r="AU18" s="153"/>
      <c r="AZ18" s="153"/>
      <c r="BA18" s="153"/>
      <c r="BC18" s="153"/>
      <c r="BD18" s="153"/>
      <c r="BE18" s="153"/>
      <c r="BF18" s="153"/>
      <c r="BG18" s="153"/>
      <c r="BH18" s="153"/>
      <c r="BI18" s="153"/>
      <c r="BJ18" s="153"/>
      <c r="BL18" s="167"/>
      <c r="BN18" s="153"/>
      <c r="BO18" s="153"/>
    </row>
    <row r="19" spans="1:67" x14ac:dyDescent="0.3">
      <c r="U19" s="153"/>
      <c r="V19" s="153"/>
      <c r="AM19" s="153"/>
      <c r="AN19" s="153"/>
      <c r="AO19" s="153"/>
      <c r="AP19" s="153"/>
      <c r="AQ19" s="153"/>
      <c r="AU19" s="153"/>
      <c r="AZ19" s="153"/>
      <c r="BA19" s="153"/>
      <c r="BC19" s="153"/>
      <c r="BD19" s="153"/>
      <c r="BE19" s="153"/>
      <c r="BF19" s="153"/>
      <c r="BG19" s="153"/>
      <c r="BH19" s="153"/>
      <c r="BI19" s="153"/>
      <c r="BJ19" s="153"/>
      <c r="BL19" s="153"/>
      <c r="BN19" s="153"/>
      <c r="BO19" s="153"/>
    </row>
    <row r="20" spans="1:67" x14ac:dyDescent="0.3">
      <c r="U20" s="153"/>
      <c r="V20" s="153"/>
      <c r="AM20" s="153"/>
      <c r="AN20" s="153"/>
      <c r="AO20" s="153"/>
      <c r="AP20" s="153"/>
      <c r="AQ20" s="153"/>
      <c r="AU20" s="153"/>
      <c r="AZ20" s="153"/>
      <c r="BA20" s="153"/>
      <c r="BC20" s="153"/>
      <c r="BD20" s="153"/>
      <c r="BE20" s="153"/>
      <c r="BF20" s="153"/>
      <c r="BG20" s="153"/>
      <c r="BH20" s="153"/>
      <c r="BI20" s="153"/>
      <c r="BJ20" s="153"/>
      <c r="BL20" s="153"/>
      <c r="BN20" s="153"/>
      <c r="BO20" s="153"/>
    </row>
    <row r="21" spans="1:67" x14ac:dyDescent="0.3">
      <c r="U21" s="153"/>
      <c r="V21" s="153"/>
      <c r="AM21" s="153"/>
      <c r="AN21" s="153"/>
      <c r="AO21" s="153"/>
      <c r="AP21" s="153"/>
      <c r="AQ21" s="153"/>
      <c r="AU21" s="153"/>
      <c r="AZ21" s="153"/>
      <c r="BA21" s="153"/>
      <c r="BC21" s="153"/>
      <c r="BD21" s="153"/>
      <c r="BE21" s="153"/>
      <c r="BF21" s="153"/>
      <c r="BG21" s="153"/>
      <c r="BH21" s="153"/>
      <c r="BI21" s="153"/>
      <c r="BJ21" s="153"/>
      <c r="BL21" s="153"/>
      <c r="BN21" s="153"/>
      <c r="BO21" s="153"/>
    </row>
    <row r="22" spans="1:67" x14ac:dyDescent="0.3">
      <c r="U22" s="153"/>
      <c r="V22" s="153"/>
      <c r="AM22" s="153"/>
      <c r="AN22" s="153"/>
      <c r="AO22" s="153"/>
      <c r="AP22" s="153"/>
      <c r="AQ22" s="153"/>
      <c r="AU22" s="153"/>
      <c r="AZ22" s="153"/>
      <c r="BA22" s="153"/>
      <c r="BC22" s="153"/>
      <c r="BD22" s="153"/>
      <c r="BE22" s="153"/>
      <c r="BF22" s="153"/>
      <c r="BG22" s="153"/>
      <c r="BH22" s="153"/>
      <c r="BI22" s="153"/>
      <c r="BJ22" s="153"/>
      <c r="BL22" s="153"/>
      <c r="BN22" s="153"/>
      <c r="BO22" s="153"/>
    </row>
    <row r="23" spans="1:67" x14ac:dyDescent="0.3">
      <c r="X23" s="146"/>
      <c r="Y23" s="146"/>
      <c r="Z23" s="146"/>
      <c r="AA23" s="146"/>
      <c r="AB23" s="146"/>
      <c r="AC23" s="146"/>
      <c r="AD23" s="146"/>
      <c r="AE23" s="146"/>
    </row>
    <row r="24" spans="1:67" x14ac:dyDescent="0.3">
      <c r="X24" s="146"/>
      <c r="Y24" s="146"/>
      <c r="Z24" s="146"/>
      <c r="AA24" s="146"/>
      <c r="AB24" s="146"/>
      <c r="AC24" s="146"/>
      <c r="AD24" s="146"/>
      <c r="AE24" s="146"/>
    </row>
    <row r="25" spans="1:67" x14ac:dyDescent="0.3">
      <c r="X25" s="146"/>
      <c r="Y25" s="146"/>
      <c r="Z25" s="146"/>
      <c r="AA25" s="146"/>
      <c r="AB25" s="146"/>
      <c r="AC25" s="146"/>
      <c r="AD25" s="146"/>
      <c r="AE25" s="146"/>
    </row>
    <row r="26" spans="1:67" x14ac:dyDescent="0.3">
      <c r="X26" s="146"/>
      <c r="Y26" s="146"/>
      <c r="Z26" s="146"/>
      <c r="AA26" s="146"/>
      <c r="AB26" s="146"/>
      <c r="AC26" s="146"/>
      <c r="AD26" s="146"/>
      <c r="AE26" s="146"/>
    </row>
    <row r="27" spans="1:67" x14ac:dyDescent="0.3">
      <c r="X27" s="146"/>
      <c r="Y27" s="146"/>
      <c r="Z27" s="146"/>
      <c r="AA27" s="146"/>
      <c r="AB27" s="146"/>
      <c r="AC27" s="146"/>
      <c r="AD27" s="146"/>
      <c r="AE27" s="146"/>
    </row>
    <row r="28" spans="1:67" x14ac:dyDescent="0.3">
      <c r="X28" s="146"/>
      <c r="Y28" s="146"/>
      <c r="Z28" s="146"/>
      <c r="AA28" s="146"/>
      <c r="AB28" s="146"/>
      <c r="AC28" s="146"/>
      <c r="AD28" s="146"/>
      <c r="AE28" s="146"/>
    </row>
    <row r="29" spans="1:67" x14ac:dyDescent="0.3">
      <c r="X29" s="146"/>
      <c r="Y29" s="146"/>
      <c r="Z29" s="146"/>
      <c r="AA29" s="146"/>
      <c r="AB29" s="146"/>
      <c r="AC29" s="146"/>
      <c r="AD29" s="146"/>
      <c r="AE29" s="146"/>
    </row>
    <row r="30" spans="1:67" x14ac:dyDescent="0.3">
      <c r="X30" s="146"/>
      <c r="Y30" s="146"/>
      <c r="Z30" s="146"/>
      <c r="AA30" s="146"/>
      <c r="AB30" s="146"/>
      <c r="AC30" s="146"/>
      <c r="AD30" s="146"/>
      <c r="AE30" s="146"/>
    </row>
    <row r="31" spans="1:67" x14ac:dyDescent="0.3">
      <c r="X31" s="146"/>
      <c r="Y31" s="146"/>
      <c r="Z31" s="146"/>
      <c r="AA31" s="146"/>
      <c r="AB31" s="146"/>
      <c r="AC31" s="146"/>
      <c r="AD31" s="146"/>
      <c r="AE31" s="146"/>
    </row>
    <row r="32" spans="1:67" x14ac:dyDescent="0.3">
      <c r="X32" s="146"/>
      <c r="Y32" s="146"/>
      <c r="Z32" s="146"/>
      <c r="AA32" s="146"/>
      <c r="AB32" s="146"/>
      <c r="AC32" s="146"/>
      <c r="AD32" s="146"/>
      <c r="AE32" s="146"/>
    </row>
    <row r="33" spans="24:31" x14ac:dyDescent="0.3">
      <c r="X33" s="146"/>
      <c r="Y33" s="146"/>
      <c r="Z33" s="146"/>
      <c r="AA33" s="146"/>
      <c r="AB33" s="146"/>
      <c r="AC33" s="146"/>
      <c r="AD33" s="146"/>
      <c r="AE33" s="146"/>
    </row>
    <row r="34" spans="24:31" x14ac:dyDescent="0.3">
      <c r="X34" s="146"/>
      <c r="Y34" s="146"/>
      <c r="Z34" s="146"/>
      <c r="AA34" s="146"/>
      <c r="AB34" s="146"/>
      <c r="AC34" s="146"/>
      <c r="AD34" s="146"/>
      <c r="AE34" s="146"/>
    </row>
    <row r="35" spans="24:31" x14ac:dyDescent="0.3">
      <c r="X35" s="146"/>
      <c r="Y35" s="146"/>
      <c r="Z35" s="146"/>
      <c r="AA35" s="146"/>
      <c r="AB35" s="146"/>
      <c r="AC35" s="146"/>
      <c r="AD35" s="146"/>
      <c r="AE35" s="146"/>
    </row>
    <row r="36" spans="24:31" x14ac:dyDescent="0.3">
      <c r="X36" s="146"/>
      <c r="Y36" s="146"/>
      <c r="Z36" s="146"/>
      <c r="AA36" s="146"/>
      <c r="AB36" s="146"/>
      <c r="AC36" s="146"/>
      <c r="AD36" s="146"/>
      <c r="AE36" s="146"/>
    </row>
    <row r="37" spans="24:31" x14ac:dyDescent="0.3">
      <c r="X37" s="146"/>
      <c r="Y37" s="146"/>
      <c r="Z37" s="146"/>
      <c r="AA37" s="146"/>
      <c r="AB37" s="146"/>
      <c r="AC37" s="146"/>
      <c r="AD37" s="146"/>
      <c r="AE37" s="146"/>
    </row>
    <row r="38" spans="24:31" x14ac:dyDescent="0.3">
      <c r="X38" s="146"/>
      <c r="Y38" s="146"/>
      <c r="Z38" s="146"/>
      <c r="AA38" s="146"/>
      <c r="AB38" s="146"/>
      <c r="AC38" s="146"/>
      <c r="AD38" s="146"/>
      <c r="AE38" s="146"/>
    </row>
    <row r="39" spans="24:31" x14ac:dyDescent="0.3">
      <c r="X39" s="146"/>
      <c r="Y39" s="146"/>
      <c r="Z39" s="146"/>
      <c r="AA39" s="146"/>
      <c r="AB39" s="146"/>
      <c r="AC39" s="146"/>
      <c r="AD39" s="146"/>
      <c r="AE39" s="146"/>
    </row>
    <row r="40" spans="24:31" x14ac:dyDescent="0.3">
      <c r="X40" s="146"/>
      <c r="Y40" s="146"/>
      <c r="Z40" s="146"/>
      <c r="AA40" s="146"/>
      <c r="AB40" s="146"/>
      <c r="AC40" s="146"/>
      <c r="AD40" s="146"/>
      <c r="AE40" s="146"/>
    </row>
    <row r="41" spans="24:31" x14ac:dyDescent="0.3">
      <c r="X41" s="146"/>
      <c r="Y41" s="146"/>
      <c r="Z41" s="146"/>
      <c r="AA41" s="146"/>
      <c r="AB41" s="146"/>
      <c r="AC41" s="146"/>
      <c r="AD41" s="146"/>
      <c r="AE41" s="146"/>
    </row>
  </sheetData>
  <sheetProtection algorithmName="SHA-512" hashValue="4jDFydxz9V8kwb993oBhdnTzehDZ07ALAvgc+RABamGqWSRUOS1IYstC4uOxhy5QJ8B6hvyCt0YUJp9qA3JHpA==" saltValue="52yol7ro4IZuB1S+Cj/Ccg==" spinCount="100000" sheet="1" selectLockedCells="1"/>
  <mergeCells count="9">
    <mergeCell ref="BP1:BR1"/>
    <mergeCell ref="BS1:BT1"/>
    <mergeCell ref="BU1:BV1"/>
    <mergeCell ref="BW1:BX1"/>
    <mergeCell ref="A1:V1"/>
    <mergeCell ref="AN1:AU1"/>
    <mergeCell ref="W1:AM1"/>
    <mergeCell ref="AV1:AX1"/>
    <mergeCell ref="AY1:BO1"/>
  </mergeCells>
  <dataValidations count="7">
    <dataValidation type="list" allowBlank="1" showInputMessage="1" showErrorMessage="1" sqref="BK3:BK7" xr:uid="{1FEAC1F5-0C6D-4C9F-83DE-0990FA01FEEC}">
      <formula1>"Old,New"</formula1>
    </dataValidation>
    <dataValidation type="whole" operator="lessThanOrEqual" allowBlank="1" showInputMessage="1" showErrorMessage="1" error="80C deduction cannot exceed ₹1,50,000 as per IT rules." sqref="BB3" xr:uid="{D2726434-7445-4F55-BA3A-F38C6EB68D75}">
      <formula1>150000</formula1>
    </dataValidation>
    <dataValidation type="whole" operator="lessThanOrEqual" allowBlank="1" showInputMessage="1" showErrorMessage="1" errorTitle="Self/Family Premiun " error="Self/Family Premiun can't be more then 50000" sqref="BP3:BP7" xr:uid="{8BF07223-25CA-4319-B3E2-02E1FA11B9E1}">
      <formula1>50000</formula1>
    </dataValidation>
    <dataValidation type="whole" operator="lessThanOrEqual" allowBlank="1" showInputMessage="1" showErrorMessage="1" errorTitle="Parent Premium" error="Parent Premium can't be more then 50000" sqref="BQ3:BQ7" xr:uid="{77471AD0-E57A-42D3-8D25-2F717FA04ADE}">
      <formula1>50000</formula1>
    </dataValidation>
    <dataValidation type="list" allowBlank="1" showInputMessage="1" showErrorMessage="1" sqref="BR3:BR7" xr:uid="{8A38123E-44BA-447A-AA9A-FA5EC57A9FDB}">
      <formula1>"No,Non-Senior,Senior"</formula1>
    </dataValidation>
    <dataValidation type="list" allowBlank="1" showInputMessage="1" showErrorMessage="1" sqref="BV3" xr:uid="{03981499-6320-4F3E-9A72-A7E98EB8F9FF}">
      <formula1>"100%,50%"</formula1>
    </dataValidation>
    <dataValidation type="list" allowBlank="1" showInputMessage="1" showErrorMessage="1" sqref="BX3" xr:uid="{BE80CF14-6176-4E07-9EE2-748BD8B88E07}">
      <formula1>"TTA,TTB"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chiveThisMonth">
                <anchor moveWithCells="1" sizeWithCells="1">
                  <from>
                    <xdr:col>3</xdr:col>
                    <xdr:colOff>31750</xdr:colOff>
                    <xdr:row>15</xdr:row>
                    <xdr:rowOff>0</xdr:rowOff>
                  </from>
                  <to>
                    <xdr:col>3</xdr:col>
                    <xdr:colOff>1555750</xdr:colOff>
                    <xdr:row>16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6A78-5740-47DE-B678-B3FF2571E239}">
  <sheetPr codeName="Sheet2"/>
  <dimension ref="A1:D25"/>
  <sheetViews>
    <sheetView workbookViewId="0">
      <selection activeCell="B2" sqref="B2:C2"/>
    </sheetView>
  </sheetViews>
  <sheetFormatPr defaultRowHeight="12" x14ac:dyDescent="0.3"/>
  <cols>
    <col min="1" max="1" width="31.90625" style="1" bestFit="1" customWidth="1"/>
    <col min="2" max="2" width="7.90625" style="2" bestFit="1" customWidth="1"/>
    <col min="3" max="3" width="22.7265625" style="2" customWidth="1"/>
    <col min="4" max="6" width="8.7265625" style="1"/>
    <col min="7" max="7" width="11.453125" style="1" bestFit="1" customWidth="1"/>
    <col min="8" max="16384" width="8.7265625" style="1"/>
  </cols>
  <sheetData>
    <row r="1" spans="1:3" ht="12.5" thickBot="1" x14ac:dyDescent="0.35">
      <c r="A1" s="260" t="s">
        <v>146</v>
      </c>
      <c r="B1" s="261"/>
      <c r="C1" s="262"/>
    </row>
    <row r="2" spans="1:3" x14ac:dyDescent="0.3">
      <c r="A2" s="197" t="s">
        <v>0</v>
      </c>
      <c r="B2" s="263" t="s">
        <v>84</v>
      </c>
      <c r="C2" s="264"/>
    </row>
    <row r="3" spans="1:3" x14ac:dyDescent="0.3">
      <c r="A3" s="197" t="s">
        <v>27</v>
      </c>
      <c r="B3" s="258" t="str">
        <f>VLOOKUP($B$2,'Computation Sheet'!$B$2:$BY$20,2,0)</f>
        <v>Manjul Tripati</v>
      </c>
      <c r="C3" s="259"/>
    </row>
    <row r="4" spans="1:3" x14ac:dyDescent="0.3">
      <c r="A4" s="197" t="s">
        <v>1</v>
      </c>
      <c r="B4" s="258" t="str">
        <f>VLOOKUP($B$2,'Computation Sheet'!$B$2:$BY$20,7,0)</f>
        <v>GEN AI INTREN</v>
      </c>
      <c r="C4" s="259"/>
    </row>
    <row r="5" spans="1:3" x14ac:dyDescent="0.3">
      <c r="A5" s="197" t="s">
        <v>56</v>
      </c>
      <c r="B5" s="258" t="str">
        <f>VLOOKUP($B$2,'Computation Sheet'!$B$2:$BY$20,8,0)</f>
        <v>E1</v>
      </c>
      <c r="C5" s="259"/>
    </row>
    <row r="6" spans="1:3" x14ac:dyDescent="0.3">
      <c r="A6" s="197" t="s">
        <v>260</v>
      </c>
      <c r="B6" s="265">
        <f>VLOOKUP($B$2,'Computation Sheet'!$B$2:$BY$20,5,0)</f>
        <v>45810</v>
      </c>
      <c r="C6" s="266"/>
    </row>
    <row r="7" spans="1:3" x14ac:dyDescent="0.3">
      <c r="A7" s="197" t="s">
        <v>147</v>
      </c>
      <c r="B7" s="256">
        <f>VLOOKUP($B$2,'Computation Sheet'!$B$2:$BY$20,22,0)</f>
        <v>180000</v>
      </c>
      <c r="C7" s="257"/>
    </row>
    <row r="8" spans="1:3" x14ac:dyDescent="0.3">
      <c r="A8" s="201"/>
      <c r="B8" s="202" t="s">
        <v>148</v>
      </c>
      <c r="C8" s="203" t="s">
        <v>149</v>
      </c>
    </row>
    <row r="9" spans="1:3" x14ac:dyDescent="0.3">
      <c r="A9" s="197" t="s">
        <v>4</v>
      </c>
      <c r="B9" s="22">
        <f>VLOOKUP($B$2,'Computation Sheet'!$B$2:$BY$20,25,0)</f>
        <v>6150</v>
      </c>
      <c r="C9" s="15">
        <f>B9*12</f>
        <v>73800</v>
      </c>
    </row>
    <row r="10" spans="1:3" x14ac:dyDescent="0.3">
      <c r="A10" s="197" t="s">
        <v>150</v>
      </c>
      <c r="B10" s="22">
        <f>VLOOKUP($B$2,'Computation Sheet'!$B$2:$BY$20,26,0)</f>
        <v>3075</v>
      </c>
      <c r="C10" s="15">
        <f>B10*12</f>
        <v>36900</v>
      </c>
    </row>
    <row r="11" spans="1:3" x14ac:dyDescent="0.3">
      <c r="A11" s="197" t="s">
        <v>6</v>
      </c>
      <c r="B11" s="22">
        <f>VLOOKUP($B$2,'Computation Sheet'!$B$2:$BY$20,27,0)</f>
        <v>5262.7049999999999</v>
      </c>
      <c r="C11" s="15">
        <f>B11*12</f>
        <v>63152.46</v>
      </c>
    </row>
    <row r="12" spans="1:3" x14ac:dyDescent="0.3">
      <c r="A12" s="198" t="s">
        <v>151</v>
      </c>
      <c r="B12" s="192">
        <f>SUM(B9:B11)</f>
        <v>14487.705</v>
      </c>
      <c r="C12" s="193">
        <f>SUM(C9:C11)</f>
        <v>173852.46</v>
      </c>
    </row>
    <row r="13" spans="1:3" x14ac:dyDescent="0.3">
      <c r="A13" s="200" t="s">
        <v>152</v>
      </c>
      <c r="B13" s="204"/>
      <c r="C13" s="205"/>
    </row>
    <row r="14" spans="1:3" x14ac:dyDescent="0.3">
      <c r="A14" s="197" t="s">
        <v>153</v>
      </c>
      <c r="B14" s="22">
        <f ca="1">VLOOKUP($B$2,'Computation Sheet'!$B$2:$BY$20,28,0)</f>
        <v>14005</v>
      </c>
      <c r="C14" s="194">
        <f ca="1">B14*12</f>
        <v>168060</v>
      </c>
    </row>
    <row r="15" spans="1:3" x14ac:dyDescent="0.3">
      <c r="A15" s="197" t="s">
        <v>38</v>
      </c>
      <c r="B15" s="22">
        <f>VLOOKUP($B$2,'Computation Sheet'!$B$2:$BY$20,42,0)</f>
        <v>296</v>
      </c>
      <c r="C15" s="194">
        <f>B15*12</f>
        <v>3552</v>
      </c>
    </row>
    <row r="16" spans="1:3" x14ac:dyDescent="0.3">
      <c r="A16" s="197" t="s">
        <v>161</v>
      </c>
      <c r="B16" s="22">
        <f ca="1">VLOOKUP($B$2,'Computation Sheet'!$B$2:$BY$20,30,0)</f>
        <v>105.03749999999999</v>
      </c>
      <c r="C16" s="194">
        <f ca="1">B16*12</f>
        <v>1260.4499999999998</v>
      </c>
    </row>
    <row r="17" spans="1:4" x14ac:dyDescent="0.3">
      <c r="A17" s="198" t="s">
        <v>154</v>
      </c>
      <c r="B17" s="192">
        <f ca="1">SUM(B14:B16)</f>
        <v>14406.0375</v>
      </c>
      <c r="C17" s="193">
        <f ca="1">SUM(C14:C16)</f>
        <v>172872.45</v>
      </c>
    </row>
    <row r="18" spans="1:4" x14ac:dyDescent="0.3">
      <c r="A18" s="198" t="s">
        <v>155</v>
      </c>
      <c r="B18" s="192"/>
      <c r="C18" s="193">
        <f ca="1">C17+C12</f>
        <v>346724.91000000003</v>
      </c>
    </row>
    <row r="19" spans="1:4" x14ac:dyDescent="0.3">
      <c r="A19" s="200" t="s">
        <v>156</v>
      </c>
      <c r="B19" s="204"/>
      <c r="C19" s="205"/>
    </row>
    <row r="20" spans="1:4" x14ac:dyDescent="0.3">
      <c r="A20" s="197" t="s">
        <v>157</v>
      </c>
      <c r="B20" s="206"/>
      <c r="C20" s="193"/>
    </row>
    <row r="21" spans="1:4" ht="12.5" thickBot="1" x14ac:dyDescent="0.35">
      <c r="A21" s="199" t="s">
        <v>158</v>
      </c>
      <c r="B21" s="207"/>
      <c r="C21" s="208"/>
    </row>
    <row r="22" spans="1:4" ht="12.5" thickBot="1" x14ac:dyDescent="0.35">
      <c r="A22" s="196" t="s">
        <v>159</v>
      </c>
      <c r="B22" s="209"/>
      <c r="C22" s="20">
        <f ca="1">SUM(C12+C17+C21)</f>
        <v>346724.91000000003</v>
      </c>
    </row>
    <row r="23" spans="1:4" x14ac:dyDescent="0.3">
      <c r="A23" s="195" t="s">
        <v>160</v>
      </c>
      <c r="B23" s="210"/>
      <c r="C23" s="16">
        <f ca="1">VLOOKUP($B$2,'Computation Sheet'!$B$2:$BY$20,38,0)</f>
        <v>13161.9625</v>
      </c>
      <c r="D23" s="21"/>
    </row>
    <row r="25" spans="1:4" ht="12.5" thickBot="1" x14ac:dyDescent="0.35">
      <c r="A25" s="17"/>
      <c r="B25" s="18"/>
      <c r="C25" s="19"/>
    </row>
  </sheetData>
  <sheetProtection algorithmName="SHA-512" hashValue="Fr1zrRnF8VZ9HPrdwXJMWnhby2fziaac0s6z0tcIHssIK4lIKOxzzbU6fmsq4lKmU8cTSr5Wa5/v4OO5Q10/Vg==" saltValue="HcDev+pJLB7XZx1NxWKplA==" spinCount="100000" sheet="1" objects="1" scenarios="1" selectLockedCells="1"/>
  <mergeCells count="7">
    <mergeCell ref="B7:C7"/>
    <mergeCell ref="B3:C3"/>
    <mergeCell ref="A1:C1"/>
    <mergeCell ref="B2:C2"/>
    <mergeCell ref="B4:C4"/>
    <mergeCell ref="B5:C5"/>
    <mergeCell ref="B6:C6"/>
  </mergeCells>
  <conditionalFormatting sqref="C23">
    <cfRule type="cellIs" dxfId="0" priority="1" operator="lessThan">
      <formula>15000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88B26-739D-48B8-8387-69F44B0FB0B3}">
  <sheetPr codeName="Sheet3"/>
  <dimension ref="A1:F21"/>
  <sheetViews>
    <sheetView workbookViewId="0">
      <selection activeCell="B18" sqref="B18:F18"/>
    </sheetView>
  </sheetViews>
  <sheetFormatPr defaultRowHeight="12" x14ac:dyDescent="0.3"/>
  <cols>
    <col min="1" max="1" width="18.453125" style="1" bestFit="1" customWidth="1"/>
    <col min="2" max="2" width="7.1796875" style="1" bestFit="1" customWidth="1"/>
    <col min="3" max="3" width="15.90625" style="1" bestFit="1" customWidth="1"/>
    <col min="4" max="4" width="14.26953125" style="2" bestFit="1" customWidth="1"/>
    <col min="5" max="5" width="21.08984375" style="1" bestFit="1" customWidth="1"/>
    <col min="6" max="6" width="13.1796875" style="2" bestFit="1" customWidth="1"/>
    <col min="7" max="16384" width="8.7265625" style="1"/>
  </cols>
  <sheetData>
    <row r="1" spans="1:6" ht="15" thickBot="1" x14ac:dyDescent="0.4">
      <c r="A1" s="267" t="str">
        <f ca="1">"PAYSLIP for the Month of " &amp; TEXT(TODAY(),"mmmm yyyy")</f>
        <v>PAYSLIP for the Month of June 2025</v>
      </c>
      <c r="B1" s="268"/>
      <c r="C1" s="268"/>
      <c r="D1" s="268"/>
      <c r="E1" s="268"/>
      <c r="F1" s="269"/>
    </row>
    <row r="2" spans="1:6" x14ac:dyDescent="0.3">
      <c r="A2" s="23" t="s">
        <v>0</v>
      </c>
      <c r="B2" s="24" t="s">
        <v>83</v>
      </c>
      <c r="C2" s="24" t="s">
        <v>27</v>
      </c>
      <c r="D2" s="26" t="str">
        <f>VLOOKUP($B$2,'Computation Sheet'!$B$2:$BY$20,2,0)</f>
        <v>Raghav Gulati</v>
      </c>
      <c r="E2" s="25" t="s">
        <v>162</v>
      </c>
      <c r="F2" s="28">
        <f>VLOOKUP($B$2,'Computation Sheet'!$B$2:$BY$20,5,0)</f>
        <v>45810</v>
      </c>
    </row>
    <row r="3" spans="1:6" x14ac:dyDescent="0.3">
      <c r="A3" s="12" t="s">
        <v>2</v>
      </c>
      <c r="B3" s="5"/>
      <c r="C3" s="5" t="s">
        <v>1</v>
      </c>
      <c r="D3" s="142" t="str">
        <f>VLOOKUP($B$2,'Computation Sheet'!$B$2:$BY$20,7,0)</f>
        <v>GEN AI INTREN</v>
      </c>
      <c r="E3" s="5" t="s">
        <v>163</v>
      </c>
      <c r="F3" s="143" t="s">
        <v>164</v>
      </c>
    </row>
    <row r="4" spans="1:6" x14ac:dyDescent="0.3">
      <c r="A4" s="12" t="s">
        <v>165</v>
      </c>
      <c r="B4" s="5"/>
      <c r="C4" s="5" t="s">
        <v>133</v>
      </c>
      <c r="D4" s="142">
        <f>VLOOKUP($B$2,'Computation Sheet'!$B$2:$BY$20,48,0)</f>
        <v>0</v>
      </c>
      <c r="E4" s="5" t="s">
        <v>166</v>
      </c>
      <c r="F4" s="143" t="str">
        <f>VLOOKUP($B$2,'Computation Sheet'!$B$2:$BY$20,7,0)</f>
        <v>GEN AI INTREN</v>
      </c>
    </row>
    <row r="5" spans="1:6" ht="12.5" thickBot="1" x14ac:dyDescent="0.35">
      <c r="A5" s="13" t="s">
        <v>167</v>
      </c>
      <c r="B5" s="144"/>
      <c r="C5" s="8" t="s">
        <v>3</v>
      </c>
      <c r="D5" s="144" t="str">
        <f>VLOOKUP($B$2,'Computation Sheet'!$B$2:$BY$20,9,0)</f>
        <v>EIIPG6960D</v>
      </c>
      <c r="E5" s="8"/>
      <c r="F5" s="145"/>
    </row>
    <row r="6" spans="1:6" ht="12.5" thickBot="1" x14ac:dyDescent="0.35">
      <c r="A6" s="213"/>
      <c r="B6" s="214"/>
      <c r="C6" s="214"/>
      <c r="D6" s="215"/>
      <c r="E6" s="214"/>
      <c r="F6" s="216"/>
    </row>
    <row r="7" spans="1:6" ht="14.5" x14ac:dyDescent="0.35">
      <c r="A7" s="217" t="s">
        <v>168</v>
      </c>
      <c r="B7" s="218"/>
      <c r="C7" s="218"/>
      <c r="D7" s="26"/>
      <c r="E7" s="218"/>
      <c r="F7" s="219"/>
    </row>
    <row r="8" spans="1:6" x14ac:dyDescent="0.3">
      <c r="A8" s="12" t="s">
        <v>169</v>
      </c>
      <c r="B8" s="142">
        <f ca="1">VLOOKUP($B$2,'Computation Sheet'!$B$2:$BY$20,21,0)</f>
        <v>29</v>
      </c>
      <c r="C8" s="5" t="s">
        <v>170</v>
      </c>
      <c r="D8" s="142">
        <f ca="1">VLOOKUP($B$2,'Computation Sheet'!$B$2:$BY$20,21,0)</f>
        <v>29</v>
      </c>
      <c r="E8" s="5" t="s">
        <v>171</v>
      </c>
      <c r="F8" s="143">
        <f ca="1">D8-B8</f>
        <v>0</v>
      </c>
    </row>
    <row r="9" spans="1:6" x14ac:dyDescent="0.3">
      <c r="A9" s="12"/>
      <c r="B9" s="142"/>
      <c r="C9" s="5"/>
      <c r="D9" s="142"/>
      <c r="E9" s="5"/>
      <c r="F9" s="143"/>
    </row>
    <row r="10" spans="1:6" ht="12.5" thickBot="1" x14ac:dyDescent="0.35">
      <c r="A10" s="220" t="s">
        <v>172</v>
      </c>
      <c r="B10" s="222">
        <f ca="1">VLOOKUP($B$2,'Computation Sheet'!$B$2:$BY$20,21,0)</f>
        <v>29</v>
      </c>
      <c r="C10" s="221"/>
      <c r="D10" s="222"/>
      <c r="E10" s="221"/>
      <c r="F10" s="223"/>
    </row>
    <row r="11" spans="1:6" ht="15.5" x14ac:dyDescent="0.35">
      <c r="A11" s="226" t="s">
        <v>173</v>
      </c>
      <c r="B11" s="227"/>
      <c r="C11" s="227" t="s">
        <v>174</v>
      </c>
      <c r="D11" s="228"/>
      <c r="E11" s="227" t="s">
        <v>179</v>
      </c>
      <c r="F11" s="229"/>
    </row>
    <row r="12" spans="1:6" x14ac:dyDescent="0.3">
      <c r="A12" s="12" t="s">
        <v>9</v>
      </c>
      <c r="B12" s="211">
        <f>VLOOKUP($B$2,'Computation Sheet'!$B$2:$BY$20,25,0)</f>
        <v>6150</v>
      </c>
      <c r="C12" s="5" t="s">
        <v>176</v>
      </c>
      <c r="D12" s="224">
        <f>VLOOKUP($B$2,'Computation Sheet'!$B$2:$BY$20,29,0)</f>
        <v>738</v>
      </c>
      <c r="E12" s="5" t="s">
        <v>11</v>
      </c>
      <c r="F12" s="212">
        <f ca="1">VLOOKUP($B$2,'Computation Sheet'!$B$2:$BY$20,36,0)</f>
        <v>0</v>
      </c>
    </row>
    <row r="13" spans="1:6" x14ac:dyDescent="0.3">
      <c r="A13" s="12" t="s">
        <v>5</v>
      </c>
      <c r="B13" s="211">
        <f>VLOOKUP($B$2,'Computation Sheet'!$B$2:$BY$20,26,0)</f>
        <v>3075</v>
      </c>
      <c r="C13" s="5" t="s">
        <v>177</v>
      </c>
      <c r="D13" s="211">
        <f ca="1">VLOOKUP($B$2,'Computation Sheet'!$B$2:$BY$20,30,0)</f>
        <v>105.03749999999999</v>
      </c>
      <c r="E13" s="5"/>
      <c r="F13" s="143"/>
    </row>
    <row r="14" spans="1:6" x14ac:dyDescent="0.3">
      <c r="A14" s="12" t="s">
        <v>6</v>
      </c>
      <c r="B14" s="211">
        <f>VLOOKUP($B$2,'Computation Sheet'!$B$2:$BY$20,27,0)</f>
        <v>5262.7049999999999</v>
      </c>
      <c r="C14" s="5"/>
      <c r="D14" s="142"/>
      <c r="E14" s="5"/>
      <c r="F14" s="143"/>
    </row>
    <row r="15" spans="1:6" x14ac:dyDescent="0.3">
      <c r="A15" s="12" t="s">
        <v>175</v>
      </c>
      <c r="B15" s="225">
        <f>SUM(B12:B14)</f>
        <v>14487.705</v>
      </c>
      <c r="C15" s="5" t="s">
        <v>178</v>
      </c>
      <c r="D15" s="211">
        <f ca="1">SUM(D12:D14)</f>
        <v>843.03750000000002</v>
      </c>
      <c r="E15" s="5" t="s">
        <v>180</v>
      </c>
      <c r="F15" s="212">
        <f ca="1">SUM(F12:F14)</f>
        <v>0</v>
      </c>
    </row>
    <row r="16" spans="1:6" x14ac:dyDescent="0.3">
      <c r="A16" s="12"/>
      <c r="B16" s="5"/>
      <c r="C16" s="5"/>
      <c r="D16" s="142"/>
      <c r="E16" s="5"/>
      <c r="F16" s="143"/>
    </row>
    <row r="17" spans="1:6" ht="12.5" thickBot="1" x14ac:dyDescent="0.35">
      <c r="A17" s="220" t="s">
        <v>12</v>
      </c>
      <c r="B17" s="230">
        <f ca="1">B15-D15-F15</f>
        <v>13644.6675</v>
      </c>
      <c r="C17" s="221"/>
      <c r="D17" s="222"/>
      <c r="E17" s="221"/>
      <c r="F17" s="223"/>
    </row>
    <row r="18" spans="1:6" ht="15" thickBot="1" x14ac:dyDescent="0.4">
      <c r="A18" s="231" t="s">
        <v>181</v>
      </c>
      <c r="B18" s="276" t="str">
        <f ca="1">NumToWords(B17)</f>
        <v>Thirteen Thousand Six Hundred Forty Four</v>
      </c>
      <c r="C18" s="276"/>
      <c r="D18" s="276"/>
      <c r="E18" s="276"/>
      <c r="F18" s="277"/>
    </row>
    <row r="19" spans="1:6" x14ac:dyDescent="0.3">
      <c r="A19" s="14"/>
      <c r="B19" s="10"/>
      <c r="C19" s="10"/>
      <c r="D19" s="27"/>
      <c r="E19" s="10"/>
      <c r="F19" s="29"/>
    </row>
    <row r="20" spans="1:6" x14ac:dyDescent="0.3">
      <c r="A20" s="270" t="s">
        <v>183</v>
      </c>
      <c r="B20" s="271"/>
      <c r="C20" s="271"/>
      <c r="D20" s="271"/>
      <c r="E20" s="271"/>
      <c r="F20" s="272"/>
    </row>
    <row r="21" spans="1:6" ht="12.5" thickBot="1" x14ac:dyDescent="0.35">
      <c r="A21" s="273" t="s">
        <v>182</v>
      </c>
      <c r="B21" s="274"/>
      <c r="C21" s="274"/>
      <c r="D21" s="274"/>
      <c r="E21" s="274"/>
      <c r="F21" s="275"/>
    </row>
  </sheetData>
  <mergeCells count="4">
    <mergeCell ref="A1:F1"/>
    <mergeCell ref="A20:F20"/>
    <mergeCell ref="A21:F21"/>
    <mergeCell ref="B18:F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91CB-F834-4327-BFFB-839BC48D5175}">
  <sheetPr codeName="Sheet7"/>
  <dimension ref="A1:L8"/>
  <sheetViews>
    <sheetView workbookViewId="0">
      <selection activeCell="J14" sqref="J14"/>
    </sheetView>
  </sheetViews>
  <sheetFormatPr defaultRowHeight="14.5" x14ac:dyDescent="0.35"/>
  <cols>
    <col min="1" max="1" width="5.54296875" bestFit="1" customWidth="1"/>
    <col min="2" max="2" width="9.453125" bestFit="1" customWidth="1"/>
    <col min="3" max="3" width="14.26953125" bestFit="1" customWidth="1"/>
    <col min="4" max="4" width="6.453125" bestFit="1" customWidth="1"/>
    <col min="5" max="5" width="5.26953125" bestFit="1" customWidth="1"/>
    <col min="6" max="6" width="13.1796875" bestFit="1" customWidth="1"/>
    <col min="7" max="7" width="9.08984375" bestFit="1" customWidth="1"/>
    <col min="8" max="8" width="5.26953125" bestFit="1" customWidth="1"/>
    <col min="9" max="9" width="6.453125" bestFit="1" customWidth="1"/>
    <col min="10" max="10" width="9.90625" bestFit="1" customWidth="1"/>
    <col min="11" max="11" width="9.26953125" bestFit="1" customWidth="1"/>
    <col min="12" max="12" width="6.7265625" bestFit="1" customWidth="1"/>
  </cols>
  <sheetData>
    <row r="1" spans="1:12" x14ac:dyDescent="0.35">
      <c r="A1" s="232" t="s">
        <v>261</v>
      </c>
      <c r="B1" s="232" t="s">
        <v>0</v>
      </c>
      <c r="C1" s="232" t="s">
        <v>27</v>
      </c>
      <c r="D1" s="232" t="s">
        <v>9</v>
      </c>
      <c r="E1" s="232" t="s">
        <v>5</v>
      </c>
      <c r="F1" s="232" t="s">
        <v>6</v>
      </c>
      <c r="G1" s="232" t="s">
        <v>7</v>
      </c>
      <c r="H1" s="232" t="s">
        <v>23</v>
      </c>
      <c r="I1" s="232" t="s">
        <v>262</v>
      </c>
      <c r="J1" s="232" t="s">
        <v>3</v>
      </c>
      <c r="K1" s="232" t="s">
        <v>263</v>
      </c>
      <c r="L1" s="232" t="s">
        <v>8</v>
      </c>
    </row>
    <row r="2" spans="1:12" x14ac:dyDescent="0.35">
      <c r="A2" s="233" t="s">
        <v>264</v>
      </c>
      <c r="B2" s="233" t="s">
        <v>81</v>
      </c>
      <c r="C2" s="233" t="s">
        <v>86</v>
      </c>
      <c r="D2" s="233">
        <v>159558.33333333334</v>
      </c>
      <c r="E2" s="233">
        <v>79779.166666666672</v>
      </c>
      <c r="F2" s="233">
        <v>148579.66666666669</v>
      </c>
      <c r="G2" s="233">
        <v>387917</v>
      </c>
      <c r="H2" s="233">
        <v>85959.931199999992</v>
      </c>
      <c r="I2" s="233">
        <v>300157.06880000001</v>
      </c>
      <c r="J2" s="233" t="s">
        <v>90</v>
      </c>
      <c r="K2" s="233">
        <v>45822.939583333333</v>
      </c>
      <c r="L2" s="233"/>
    </row>
    <row r="3" spans="1:12" x14ac:dyDescent="0.35">
      <c r="A3" s="233" t="s">
        <v>264</v>
      </c>
      <c r="B3" s="233" t="s">
        <v>82</v>
      </c>
      <c r="C3" s="233" t="s">
        <v>97</v>
      </c>
      <c r="D3" s="233">
        <v>6150</v>
      </c>
      <c r="E3" s="233">
        <v>3075</v>
      </c>
      <c r="F3" s="233">
        <v>5262.7049999999999</v>
      </c>
      <c r="G3" s="233">
        <v>14005</v>
      </c>
      <c r="H3" s="233">
        <v>0</v>
      </c>
      <c r="I3" s="233">
        <v>13161.9625</v>
      </c>
      <c r="J3" s="233" t="s">
        <v>105</v>
      </c>
      <c r="K3" s="233">
        <v>45822.939583333333</v>
      </c>
      <c r="L3" s="233"/>
    </row>
    <row r="4" spans="1:12" x14ac:dyDescent="0.35">
      <c r="A4" s="233" t="s">
        <v>264</v>
      </c>
      <c r="B4" s="233" t="s">
        <v>83</v>
      </c>
      <c r="C4" s="233" t="s">
        <v>77</v>
      </c>
      <c r="D4" s="233">
        <v>6150</v>
      </c>
      <c r="E4" s="233">
        <v>3075</v>
      </c>
      <c r="F4" s="233">
        <v>5262.7049999999999</v>
      </c>
      <c r="G4" s="233">
        <v>14005</v>
      </c>
      <c r="H4" s="233">
        <v>0</v>
      </c>
      <c r="I4" s="233">
        <v>13161.9625</v>
      </c>
      <c r="J4" s="233" t="s">
        <v>128</v>
      </c>
      <c r="K4" s="233">
        <v>45822.939583333333</v>
      </c>
      <c r="L4" s="233"/>
    </row>
    <row r="5" spans="1:12" x14ac:dyDescent="0.35">
      <c r="A5" s="233" t="s">
        <v>264</v>
      </c>
      <c r="B5" s="233" t="s">
        <v>84</v>
      </c>
      <c r="C5" s="233" t="s">
        <v>78</v>
      </c>
      <c r="D5" s="233">
        <v>6150</v>
      </c>
      <c r="E5" s="233">
        <v>3075</v>
      </c>
      <c r="F5" s="233">
        <v>5262.7049999999999</v>
      </c>
      <c r="G5" s="233">
        <v>14005</v>
      </c>
      <c r="H5" s="233">
        <v>0</v>
      </c>
      <c r="I5" s="233">
        <v>13161.9625</v>
      </c>
      <c r="J5" s="233" t="s">
        <v>121</v>
      </c>
      <c r="K5" s="233">
        <v>45822.939583333333</v>
      </c>
      <c r="L5" s="233"/>
    </row>
    <row r="6" spans="1:12" x14ac:dyDescent="0.35">
      <c r="A6" s="233" t="s">
        <v>264</v>
      </c>
      <c r="B6" s="233" t="s">
        <v>85</v>
      </c>
      <c r="C6" s="233" t="s">
        <v>79</v>
      </c>
      <c r="D6" s="233">
        <v>10250</v>
      </c>
      <c r="E6" s="233">
        <v>5125</v>
      </c>
      <c r="F6" s="233">
        <v>8771.1749999999993</v>
      </c>
      <c r="G6" s="233">
        <v>23341</v>
      </c>
      <c r="H6" s="233">
        <v>0</v>
      </c>
      <c r="I6" s="233">
        <v>22111</v>
      </c>
      <c r="J6" s="233" t="s">
        <v>113</v>
      </c>
      <c r="K6" s="233">
        <v>45822.939583333333</v>
      </c>
      <c r="L6" s="233"/>
    </row>
    <row r="7" spans="1:12" x14ac:dyDescent="0.35">
      <c r="A7" s="233" t="s">
        <v>264</v>
      </c>
      <c r="B7" s="233" t="s">
        <v>257</v>
      </c>
      <c r="C7" s="233"/>
      <c r="D7" s="233"/>
      <c r="E7" s="233"/>
      <c r="F7" s="233"/>
      <c r="G7" s="233"/>
      <c r="H7" s="233"/>
      <c r="I7" s="233"/>
      <c r="J7" s="233"/>
      <c r="K7" s="233">
        <v>45822.939583333333</v>
      </c>
      <c r="L7" s="233"/>
    </row>
    <row r="8" spans="1:12" x14ac:dyDescent="0.35">
      <c r="A8" s="233" t="s">
        <v>264</v>
      </c>
      <c r="B8" s="233" t="s">
        <v>258</v>
      </c>
      <c r="C8" s="233" t="s">
        <v>265</v>
      </c>
      <c r="D8" s="233"/>
      <c r="E8" s="233"/>
      <c r="F8" s="233"/>
      <c r="G8" s="233"/>
      <c r="H8" s="233"/>
      <c r="I8" s="233"/>
      <c r="J8" s="233"/>
      <c r="K8" s="233">
        <v>45822.939583333333</v>
      </c>
      <c r="L8" s="23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tnExportPDF">
              <controlPr defaultSize="0" print="0" autoFill="0" autoPict="0" macro="[0]!ExportPayrollToPDF">
                <anchor moveWithCells="1" sizeWithCells="1">
                  <from>
                    <xdr:col>12</xdr:col>
                    <xdr:colOff>0</xdr:colOff>
                    <xdr:row>0</xdr:row>
                    <xdr:rowOff>127000</xdr:rowOff>
                  </from>
                  <to>
                    <xdr:col>16</xdr:col>
                    <xdr:colOff>95250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Rules</vt:lpstr>
      <vt:lpstr>Computation Sheet</vt:lpstr>
      <vt:lpstr>Offer Letter</vt:lpstr>
      <vt:lpstr>Salary Slip</vt:lpstr>
      <vt:lpstr>Payroll 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2025-06-14T17:04:20Z</cp:lastPrinted>
  <dcterms:created xsi:type="dcterms:W3CDTF">2025-06-04T10:10:34Z</dcterms:created>
  <dcterms:modified xsi:type="dcterms:W3CDTF">2025-06-14T19:08:53Z</dcterms:modified>
</cp:coreProperties>
</file>